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xr:revisionPtr revIDLastSave="0" documentId="13_ncr:1_{53ACADBF-9DCF-0641-B41B-B581156073ED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勤怠管理_テンプレート" sheetId="1" r:id="rId1"/>
    <sheet name="Sheet2" sheetId="3" r:id="rId2"/>
    <sheet name="Sheet1" sheetId="2" r:id="rId3"/>
  </sheets>
  <definedNames>
    <definedName name="_xlnm.Print_Area" localSheetId="0">勤怠管理_テンプレート!$A$1:$AI$44</definedName>
  </definedNames>
  <calcPr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" i="1" l="1"/>
  <c r="O43" i="1"/>
  <c r="AA43" i="1" s="1"/>
  <c r="X42" i="1"/>
  <c r="R42" i="1"/>
  <c r="O42" i="1"/>
  <c r="U42" i="1" s="1"/>
  <c r="AA41" i="1"/>
  <c r="R41" i="1"/>
  <c r="O41" i="1"/>
  <c r="X41" i="1" s="1"/>
  <c r="R40" i="1"/>
  <c r="O40" i="1"/>
  <c r="X40" i="1" s="1"/>
  <c r="R39" i="1"/>
  <c r="U39" i="1" s="1"/>
  <c r="O39" i="1"/>
  <c r="R38" i="1"/>
  <c r="O38" i="1"/>
  <c r="U38" i="1" s="1"/>
  <c r="R37" i="1"/>
  <c r="O37" i="1"/>
  <c r="X36" i="1"/>
  <c r="U36" i="1"/>
  <c r="AD36" i="1" s="1"/>
  <c r="R36" i="1"/>
  <c r="O36" i="1"/>
  <c r="AA36" i="1" s="1"/>
  <c r="AD35" i="1"/>
  <c r="AA35" i="1"/>
  <c r="X35" i="1"/>
  <c r="U35" i="1"/>
  <c r="R35" i="1"/>
  <c r="O35" i="1"/>
  <c r="AA34" i="1"/>
  <c r="U34" i="1"/>
  <c r="AD34" i="1" s="1"/>
  <c r="R34" i="1"/>
  <c r="O34" i="1"/>
  <c r="X34" i="1" s="1"/>
  <c r="R33" i="1"/>
  <c r="O33" i="1"/>
  <c r="R32" i="1"/>
  <c r="O32" i="1"/>
  <c r="AA32" i="1" s="1"/>
  <c r="X31" i="1"/>
  <c r="U31" i="1"/>
  <c r="R31" i="1"/>
  <c r="O31" i="1"/>
  <c r="AA31" i="1" s="1"/>
  <c r="R30" i="1"/>
  <c r="O30" i="1"/>
  <c r="X30" i="1" s="1"/>
  <c r="AA29" i="1"/>
  <c r="U29" i="1"/>
  <c r="AD29" i="1" s="1"/>
  <c r="R29" i="1"/>
  <c r="X29" i="1" s="1"/>
  <c r="O29" i="1"/>
  <c r="AD28" i="1"/>
  <c r="AA28" i="1"/>
  <c r="X28" i="1"/>
  <c r="U28" i="1"/>
  <c r="R28" i="1"/>
  <c r="O28" i="1"/>
  <c r="AA27" i="1"/>
  <c r="X27" i="1"/>
  <c r="U27" i="1"/>
  <c r="AD27" i="1" s="1"/>
  <c r="R27" i="1"/>
  <c r="O27" i="1"/>
  <c r="R26" i="1"/>
  <c r="O26" i="1"/>
  <c r="AA26" i="1" s="1"/>
  <c r="R25" i="1"/>
  <c r="O25" i="1"/>
  <c r="X25" i="1" s="1"/>
  <c r="AA24" i="1"/>
  <c r="U24" i="1"/>
  <c r="R24" i="1"/>
  <c r="X24" i="1" s="1"/>
  <c r="O24" i="1"/>
  <c r="R23" i="1"/>
  <c r="O23" i="1"/>
  <c r="AA23" i="1" s="1"/>
  <c r="R22" i="1"/>
  <c r="O22" i="1"/>
  <c r="X22" i="1" s="1"/>
  <c r="AA21" i="1"/>
  <c r="X21" i="1"/>
  <c r="R21" i="1"/>
  <c r="O21" i="1"/>
  <c r="U21" i="1" s="1"/>
  <c r="AD21" i="1" s="1"/>
  <c r="R20" i="1"/>
  <c r="O20" i="1"/>
  <c r="AA20" i="1" s="1"/>
  <c r="R19" i="1"/>
  <c r="O19" i="1"/>
  <c r="X18" i="1"/>
  <c r="U18" i="1"/>
  <c r="R18" i="1"/>
  <c r="O18" i="1"/>
  <c r="AA18" i="1" s="1"/>
  <c r="R17" i="1"/>
  <c r="O17" i="1"/>
  <c r="AA17" i="1" s="1"/>
  <c r="R16" i="1"/>
  <c r="X16" i="1" s="1"/>
  <c r="O16" i="1"/>
  <c r="R15" i="1"/>
  <c r="O15" i="1"/>
  <c r="X15" i="1" s="1"/>
  <c r="R14" i="1"/>
  <c r="O14" i="1"/>
  <c r="AA14" i="1" s="1"/>
  <c r="R13" i="1"/>
  <c r="O13" i="1"/>
  <c r="AA13" i="1" s="1"/>
  <c r="A13" i="1"/>
  <c r="C13" i="1" s="1"/>
  <c r="AC6" i="1"/>
  <c r="V6" i="1"/>
  <c r="O6" i="1"/>
  <c r="H6" i="1"/>
  <c r="A6" i="1"/>
  <c r="AA42" i="1" l="1"/>
  <c r="AD42" i="1" s="1"/>
  <c r="U41" i="1"/>
  <c r="AD41" i="1" s="1"/>
  <c r="X26" i="1"/>
  <c r="U26" i="1"/>
  <c r="U20" i="1"/>
  <c r="X20" i="1"/>
  <c r="AA22" i="1"/>
  <c r="X19" i="1"/>
  <c r="U16" i="1"/>
  <c r="AA15" i="1"/>
  <c r="AA16" i="1"/>
  <c r="U13" i="1"/>
  <c r="X13" i="1"/>
  <c r="AD13" i="1" s="1"/>
  <c r="X14" i="1"/>
  <c r="U14" i="1"/>
  <c r="AD14" i="1" s="1"/>
  <c r="AA33" i="1"/>
  <c r="U40" i="1"/>
  <c r="AD40" i="1" s="1"/>
  <c r="AA40" i="1"/>
  <c r="X39" i="1"/>
  <c r="X38" i="1"/>
  <c r="AD38" i="1" s="1"/>
  <c r="AA38" i="1"/>
  <c r="AA37" i="1"/>
  <c r="U22" i="1"/>
  <c r="AD22" i="1" s="1"/>
  <c r="U15" i="1"/>
  <c r="AD15" i="1" s="1"/>
  <c r="AA39" i="1"/>
  <c r="AD39" i="1" s="1"/>
  <c r="U37" i="1"/>
  <c r="X37" i="1"/>
  <c r="U33" i="1"/>
  <c r="X33" i="1"/>
  <c r="U23" i="1"/>
  <c r="X23" i="1"/>
  <c r="U19" i="1"/>
  <c r="AA19" i="1"/>
  <c r="AD31" i="1"/>
  <c r="AD24" i="1"/>
  <c r="AD18" i="1"/>
  <c r="AD26" i="1"/>
  <c r="AD16" i="1"/>
  <c r="AA25" i="1"/>
  <c r="AA30" i="1"/>
  <c r="U43" i="1"/>
  <c r="X43" i="1"/>
  <c r="U17" i="1"/>
  <c r="U32" i="1"/>
  <c r="X17" i="1"/>
  <c r="X32" i="1"/>
  <c r="U25" i="1"/>
  <c r="AD25" i="1" s="1"/>
  <c r="U30" i="1"/>
  <c r="A14" i="1"/>
  <c r="O8" i="1" l="1"/>
  <c r="AD20" i="1"/>
  <c r="AD37" i="1"/>
  <c r="AA44" i="1"/>
  <c r="AD33" i="1"/>
  <c r="AD23" i="1"/>
  <c r="AD19" i="1"/>
  <c r="AD17" i="1"/>
  <c r="C14" i="1"/>
  <c r="A15" i="1"/>
  <c r="H8" i="1"/>
  <c r="AD32" i="1"/>
  <c r="X44" i="1"/>
  <c r="AD43" i="1"/>
  <c r="AD30" i="1"/>
  <c r="U44" i="1"/>
  <c r="A8" i="1" l="1"/>
  <c r="AD44" i="1"/>
  <c r="A16" i="1"/>
  <c r="C15" i="1"/>
  <c r="C16" i="1" l="1"/>
  <c r="A17" i="1"/>
  <c r="A18" i="1" l="1"/>
  <c r="C17" i="1"/>
  <c r="C18" i="1" l="1"/>
  <c r="A19" i="1"/>
  <c r="C19" i="1" l="1"/>
  <c r="A20" i="1"/>
  <c r="A21" i="1" l="1"/>
  <c r="C20" i="1"/>
  <c r="C21" i="1" l="1"/>
  <c r="A22" i="1"/>
  <c r="A23" i="1" l="1"/>
  <c r="C22" i="1"/>
  <c r="C23" i="1" l="1"/>
  <c r="A24" i="1"/>
  <c r="C24" i="1" l="1"/>
  <c r="A25" i="1"/>
  <c r="A26" i="1" l="1"/>
  <c r="C25" i="1"/>
  <c r="C26" i="1" l="1"/>
  <c r="A27" i="1"/>
  <c r="A28" i="1" l="1"/>
  <c r="C27" i="1"/>
  <c r="C28" i="1" l="1"/>
  <c r="A29" i="1"/>
  <c r="C29" i="1" l="1"/>
  <c r="A30" i="1"/>
  <c r="A31" i="1" l="1"/>
  <c r="C30" i="1"/>
  <c r="C31" i="1" l="1"/>
  <c r="A32" i="1"/>
  <c r="A33" i="1" l="1"/>
  <c r="C32" i="1"/>
  <c r="C33" i="1" l="1"/>
  <c r="A34" i="1"/>
  <c r="C34" i="1" l="1"/>
  <c r="A35" i="1"/>
  <c r="A36" i="1" l="1"/>
  <c r="C35" i="1"/>
  <c r="C36" i="1" l="1"/>
  <c r="A37" i="1"/>
  <c r="A38" i="1" l="1"/>
  <c r="C37" i="1"/>
  <c r="C38" i="1" l="1"/>
  <c r="A39" i="1"/>
  <c r="C39" i="1" l="1"/>
  <c r="A40" i="1"/>
  <c r="C40" i="1" l="1"/>
  <c r="A41" i="1"/>
  <c r="C41" i="1" l="1"/>
  <c r="A42" i="1"/>
  <c r="A43" i="1" l="1"/>
  <c r="C43" i="1" s="1"/>
  <c r="C42" i="1"/>
</calcChain>
</file>

<file path=xl/sharedStrings.xml><?xml version="1.0" encoding="utf-8"?>
<sst xmlns="http://schemas.openxmlformats.org/spreadsheetml/2006/main" count="78" uniqueCount="50">
  <si>
    <t>年</t>
  </si>
  <si>
    <t>月度</t>
  </si>
  <si>
    <t>規則</t>
  </si>
  <si>
    <t>勤怠区分</t>
  </si>
  <si>
    <t>就業時刻</t>
  </si>
  <si>
    <t>顧客及びリーダー　承認</t>
  </si>
  <si>
    <t>印</t>
  </si>
  <si>
    <t>就業時間</t>
  </si>
  <si>
    <t>-</t>
  </si>
  <si>
    <t>出勤</t>
  </si>
  <si>
    <t>開始時刻切上</t>
  </si>
  <si>
    <t>所属</t>
  </si>
  <si>
    <t>氏名</t>
  </si>
  <si>
    <t>示例员工</t>
  </si>
  <si>
    <t>休憩時間1</t>
  </si>
  <si>
    <t>欠勤</t>
  </si>
  <si>
    <t>終了時刻切捨</t>
  </si>
  <si>
    <t>休憩時間2</t>
  </si>
  <si>
    <t>有給休暇</t>
  </si>
  <si>
    <t>出勤（日）</t>
  </si>
  <si>
    <t>欠勤（日）</t>
  </si>
  <si>
    <t>有給休暇（日）</t>
  </si>
  <si>
    <t>代休（日）</t>
  </si>
  <si>
    <t>休日出勤（日）</t>
  </si>
  <si>
    <t>休憩時間3</t>
  </si>
  <si>
    <t>代休</t>
  </si>
  <si>
    <t>早出時間</t>
  </si>
  <si>
    <t>休日出勤</t>
  </si>
  <si>
    <t>総就業時間</t>
  </si>
  <si>
    <t>早出・残業時間</t>
  </si>
  <si>
    <t>早朝・深夜勤務時間</t>
  </si>
  <si>
    <t>残業時間1</t>
  </si>
  <si>
    <t>残業時間2</t>
  </si>
  <si>
    <t>早朝・深夜業時間</t>
  </si>
  <si>
    <t>日</t>
  </si>
  <si>
    <t>曜日</t>
  </si>
  <si>
    <t>タイムカード時刻</t>
  </si>
  <si>
    <t>合計</t>
  </si>
  <si>
    <t>出社</t>
  </si>
  <si>
    <t>退社</t>
  </si>
  <si>
    <t>開始時刻</t>
  </si>
  <si>
    <t>終了時刻</t>
  </si>
  <si>
    <t>基本</t>
  </si>
  <si>
    <t>早出・</t>
  </si>
  <si>
    <t>早朝・</t>
  </si>
  <si>
    <t>残業</t>
  </si>
  <si>
    <t>深夜</t>
  </si>
  <si>
    <t>作業内容</t>
  </si>
  <si>
    <t>在宅</t>
  </si>
  <si>
    <t>在宅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</si>
</sst>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_);[Red]\(&quot;¥&quot;#,##0\)"/>
    <numFmt numFmtId="176" formatCode="h:mm;@"/>
    <numFmt numFmtId="177" formatCode="#,##0\ &quot;分&quot;;[Red]\-#,##0\ &quot;分&quot;"/>
    <numFmt numFmtId="178" formatCode="[h]&quot;h&quot;\ mm&quot;m&quot;"/>
    <numFmt numFmtId="179" formatCode="&quot;¥&quot;#,##0;[Red]&quot;¥&quot;\-#,##0"/>
    <numFmt numFmtId="180" formatCode="d"/>
    <numFmt numFmtId="181" formatCode="aaa"/>
    <numFmt numFmtId="182" formatCode="h&quot;ｈ &quot;mm&quot;ｍ&quot;"/>
  </numFmts>
  <fonts count="14">
    <font>
      <sz val="11"/>
      <color theme="1"/>
      <name val="等线"/>
      <family val="2"/>
      <scheme val="minor"/>
    </font>
    <font>
      <sz val="11"/>
      <name val="ＭＳ Ｐゴシック"/>
      <family val="3"/>
      <charset val="128"/>
    </font>
    <font>
      <sz val="9"/>
      <name val="AR P丸ゴシック体M"/>
      <family val="3"/>
      <charset val="128"/>
    </font>
    <font>
      <b/>
      <sz val="11"/>
      <name val="AR P丸ゴシック体M"/>
      <family val="3"/>
      <charset val="128"/>
    </font>
    <font>
      <b/>
      <sz val="9"/>
      <name val="AR P丸ゴシック体M"/>
      <family val="3"/>
      <charset val="128"/>
    </font>
    <font>
      <sz val="10"/>
      <name val="ＭＳ Ｐゴシック"/>
      <family val="3"/>
      <charset val="128"/>
    </font>
    <font>
      <sz val="9"/>
      <color theme="0" tint="-0.499984740745262"/>
      <name val="AR P丸ゴシック体M"/>
      <family val="3"/>
      <charset val="128"/>
    </font>
    <font>
      <sz val="9"/>
      <color theme="1"/>
      <name val="AR P丸ゴシック体M"/>
      <family val="3"/>
      <charset val="128"/>
    </font>
    <font>
      <sz val="14"/>
      <color theme="0" tint="-0.249977111117893"/>
      <name val="AR P丸ゴシック体M"/>
      <family val="3"/>
      <charset val="128"/>
    </font>
    <font>
      <b/>
      <sz val="9"/>
      <color theme="1"/>
      <name val="AR P丸ゴシック体M"/>
      <family val="3"/>
      <charset val="128"/>
    </font>
    <font>
      <sz val="11"/>
      <name val="AR P丸ゴシック体M"/>
      <family val="3"/>
      <charset val="128"/>
    </font>
    <font>
      <sz val="11"/>
      <color rgb="FFFF0000"/>
      <name val="AR P丸ゴシック体M"/>
      <family val="3"/>
      <charset val="128"/>
    </font>
    <font>
      <sz val="11"/>
      <color theme="1"/>
      <name val="AR P丸ゴシック体M"/>
      <family val="3"/>
      <charset val="128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6" fontId="1" fillId="0" borderId="0"/>
  </cellStyleXfs>
  <cellXfs count="82">
    <xf numFmtId="0" fontId="0" fillId="0" borderId="0" xfId="0"/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3" borderId="3" xfId="1" applyFont="1" applyFill="1" applyBorder="1" applyAlignment="1">
      <alignment horizontal="left" vertical="center"/>
    </xf>
    <xf numFmtId="20" fontId="2" fillId="3" borderId="3" xfId="1" applyNumberFormat="1" applyFont="1" applyFill="1" applyBorder="1" applyAlignment="1" applyProtection="1">
      <alignment horizontal="center" vertical="center"/>
      <protection locked="0"/>
    </xf>
    <xf numFmtId="176" fontId="2" fillId="3" borderId="3" xfId="1" applyNumberFormat="1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vertical="center"/>
    </xf>
    <xf numFmtId="177" fontId="2" fillId="3" borderId="3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left" vertical="center"/>
    </xf>
    <xf numFmtId="0" fontId="5" fillId="3" borderId="0" xfId="1" applyFont="1" applyFill="1" applyAlignment="1">
      <alignment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5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1" applyFont="1" applyAlignment="1">
      <alignment horizontal="center" vertical="center"/>
    </xf>
    <xf numFmtId="182" fontId="10" fillId="0" borderId="18" xfId="1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0" xfId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0" fillId="2" borderId="18" xfId="1" applyFont="1" applyFill="1" applyBorder="1" applyAlignment="1" applyProtection="1">
      <alignment vertical="center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180" fontId="12" fillId="0" borderId="18" xfId="1" applyNumberFormat="1" applyFont="1" applyBorder="1" applyAlignment="1">
      <alignment horizontal="center" vertical="center"/>
    </xf>
    <xf numFmtId="176" fontId="10" fillId="0" borderId="18" xfId="1" applyNumberFormat="1" applyFont="1" applyBorder="1" applyAlignment="1">
      <alignment horizontal="center" vertical="center"/>
    </xf>
    <xf numFmtId="176" fontId="10" fillId="2" borderId="15" xfId="1" applyNumberFormat="1" applyFont="1" applyFill="1" applyBorder="1" applyAlignment="1" applyProtection="1">
      <alignment horizontal="center" vertical="center"/>
      <protection locked="0"/>
    </xf>
    <xf numFmtId="176" fontId="10" fillId="2" borderId="16" xfId="1" applyNumberFormat="1" applyFont="1" applyFill="1" applyBorder="1" applyAlignment="1" applyProtection="1">
      <alignment horizontal="center" vertical="center"/>
      <protection locked="0"/>
    </xf>
    <xf numFmtId="176" fontId="10" fillId="2" borderId="17" xfId="1" applyNumberFormat="1" applyFont="1" applyFill="1" applyBorder="1" applyAlignment="1" applyProtection="1">
      <alignment horizontal="center" vertical="center"/>
      <protection locked="0"/>
    </xf>
    <xf numFmtId="178" fontId="10" fillId="0" borderId="18" xfId="1" applyNumberFormat="1" applyFont="1" applyBorder="1" applyAlignment="1">
      <alignment horizontal="center" vertical="center"/>
    </xf>
    <xf numFmtId="180" fontId="10" fillId="0" borderId="18" xfId="1" applyNumberFormat="1" applyFont="1" applyBorder="1" applyAlignment="1">
      <alignment horizontal="center" vertical="center"/>
    </xf>
    <xf numFmtId="176" fontId="10" fillId="2" borderId="18" xfId="1" applyNumberFormat="1" applyFont="1" applyFill="1" applyBorder="1" applyAlignment="1" applyProtection="1">
      <alignment horizontal="center" vertical="center"/>
      <protection locked="0"/>
    </xf>
    <xf numFmtId="181" fontId="10" fillId="0" borderId="18" xfId="1" applyNumberFormat="1" applyFont="1" applyBorder="1" applyAlignment="1">
      <alignment horizontal="center" vertical="center"/>
    </xf>
    <xf numFmtId="180" fontId="11" fillId="0" borderId="18" xfId="1" applyNumberFormat="1" applyFont="1" applyBorder="1" applyAlignment="1">
      <alignment horizontal="center" vertical="center"/>
    </xf>
    <xf numFmtId="0" fontId="3" fillId="2" borderId="0" xfId="1" applyFont="1" applyFill="1" applyAlignment="1" applyProtection="1">
      <alignment horizontal="center" vertical="center"/>
      <protection locked="0"/>
    </xf>
    <xf numFmtId="0" fontId="4" fillId="3" borderId="3" xfId="1" applyFont="1" applyFill="1" applyBorder="1" applyAlignment="1">
      <alignment horizontal="center" vertical="center"/>
    </xf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0" fillId="0" borderId="9" xfId="0" applyBorder="1"/>
    <xf numFmtId="0" fontId="0" fillId="0" borderId="1" xfId="0" applyBorder="1"/>
    <xf numFmtId="0" fontId="5" fillId="0" borderId="0" xfId="1" applyFont="1" applyAlignment="1">
      <alignment vertical="center"/>
    </xf>
    <xf numFmtId="0" fontId="0" fillId="0" borderId="8" xfId="0" applyBorder="1"/>
    <xf numFmtId="0" fontId="4" fillId="3" borderId="10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2" borderId="0" xfId="1" applyFont="1" applyFill="1" applyAlignment="1" applyProtection="1">
      <alignment vertical="center"/>
      <protection locked="0"/>
    </xf>
    <xf numFmtId="178" fontId="10" fillId="0" borderId="3" xfId="1" applyNumberFormat="1" applyFont="1" applyBorder="1" applyAlignment="1">
      <alignment horizontal="center" vertical="center"/>
    </xf>
    <xf numFmtId="178" fontId="10" fillId="0" borderId="10" xfId="1" applyNumberFormat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2" fillId="3" borderId="0" xfId="1" applyFont="1" applyFill="1" applyAlignment="1" applyProtection="1">
      <alignment horizontal="left" vertical="center"/>
      <protection locked="0"/>
    </xf>
    <xf numFmtId="0" fontId="2" fillId="2" borderId="5" xfId="1" applyFont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2" fillId="2" borderId="6" xfId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4" fillId="3" borderId="1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81" fontId="12" fillId="0" borderId="18" xfId="1" applyNumberFormat="1" applyFont="1" applyBorder="1" applyAlignment="1">
      <alignment horizontal="center" vertical="center"/>
    </xf>
    <xf numFmtId="0" fontId="10" fillId="2" borderId="15" xfId="1" applyFont="1" applyFill="1" applyBorder="1" applyAlignment="1" applyProtection="1">
      <alignment vertical="center"/>
      <protection locked="0"/>
    </xf>
    <xf numFmtId="0" fontId="10" fillId="2" borderId="16" xfId="1" applyFont="1" applyFill="1" applyBorder="1" applyAlignment="1" applyProtection="1">
      <alignment vertical="center"/>
      <protection locked="0"/>
    </xf>
    <xf numFmtId="0" fontId="10" fillId="2" borderId="17" xfId="1" applyFont="1" applyFill="1" applyBorder="1" applyAlignment="1" applyProtection="1">
      <alignment vertical="center"/>
      <protection locked="0"/>
    </xf>
    <xf numFmtId="179" fontId="4" fillId="3" borderId="3" xfId="2" applyNumberFormat="1" applyFont="1" applyFill="1" applyBorder="1" applyAlignment="1">
      <alignment horizontal="center" vertical="center"/>
    </xf>
    <xf numFmtId="180" fontId="10" fillId="0" borderId="19" xfId="1" applyNumberFormat="1" applyFont="1" applyBorder="1" applyAlignment="1">
      <alignment horizontal="center" vertical="center"/>
    </xf>
    <xf numFmtId="0" fontId="0" fillId="0" borderId="20" xfId="0" applyBorder="1"/>
    <xf numFmtId="181" fontId="10" fillId="0" borderId="19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180" fontId="10" fillId="0" borderId="14" xfId="1" applyNumberFormat="1" applyFont="1" applyBorder="1" applyAlignment="1">
      <alignment horizontal="center" vertical="center"/>
    </xf>
    <xf numFmtId="0" fontId="0" fillId="0" borderId="21" xfId="0" applyBorder="1"/>
    <xf numFmtId="182" fontId="10" fillId="0" borderId="11" xfId="1" applyNumberFormat="1" applyFont="1" applyBorder="1" applyAlignment="1">
      <alignment horizontal="center" vertical="center"/>
    </xf>
    <xf numFmtId="181" fontId="10" fillId="0" borderId="14" xfId="1" applyNumberFormat="1" applyFont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</cellXfs>
  <cellStyles count="3">
    <cellStyle name="標準 2" xfId="1" xr:uid="{00000000-0005-0000-0000-000001000000}"/>
    <cellStyle name="常规" xfId="0" builtinId="0"/>
    <cellStyle name="通貨 2" xfId="2" xr:uid="{00000000-0005-0000-0000-000002000000}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4"/>
  <sheetViews>
    <sheetView showGridLines="0" tabSelected="1" zoomScale="161" zoomScaleNormal="85" workbookViewId="0">
      <pane ySplit="12" topLeftCell="A38" activePane="bottomLeft" state="frozen"/>
      <selection pane="bottomLeft" activeCell="E42" sqref="E42:H42"/>
    </sheetView>
  </sheetViews>
  <sheetFormatPr baseColWidth="10" defaultColWidth="3" defaultRowHeight="18" customHeight="1"/>
  <cols>
    <col min="1" max="15" width="2.83203125" style="4" customWidth="1"/>
    <col min="16" max="16" width="3.1640625" style="4" customWidth="1"/>
    <col min="17" max="22" width="2.83203125" style="4" customWidth="1"/>
    <col min="23" max="23" width="3.5" style="4" customWidth="1"/>
    <col min="24" max="34" width="2.83203125" style="4" customWidth="1"/>
    <col min="35" max="35" width="2.5" style="4" customWidth="1"/>
    <col min="36" max="36" width="0.1640625" style="4" customWidth="1"/>
    <col min="37" max="37" width="14.1640625" style="4" customWidth="1"/>
    <col min="38" max="38" width="5.6640625" style="23" customWidth="1"/>
    <col min="39" max="39" width="4.83203125" style="4" customWidth="1"/>
    <col min="40" max="40" width="5.6640625" style="4" customWidth="1"/>
    <col min="41" max="41" width="5" style="4" customWidth="1"/>
    <col min="42" max="47" width="3" style="4" customWidth="1"/>
    <col min="48" max="48" width="14.33203125" style="4" customWidth="1"/>
    <col min="49" max="49" width="5.83203125" style="4" customWidth="1"/>
    <col min="50" max="256" width="3" style="4" customWidth="1"/>
    <col min="257" max="271" width="2.83203125" style="4" customWidth="1"/>
    <col min="272" max="272" width="3.1640625" style="4" customWidth="1"/>
    <col min="273" max="278" width="2.83203125" style="4" customWidth="1"/>
    <col min="279" max="279" width="3.5" style="4" customWidth="1"/>
    <col min="280" max="290" width="2.83203125" style="4" customWidth="1"/>
    <col min="291" max="291" width="2.5" style="4" customWidth="1"/>
    <col min="292" max="292" width="0.1640625" style="4" customWidth="1"/>
    <col min="293" max="293" width="14.1640625" style="4" customWidth="1"/>
    <col min="294" max="294" width="5.6640625" style="4" customWidth="1"/>
    <col min="295" max="295" width="4.83203125" style="4" customWidth="1"/>
    <col min="296" max="296" width="5.6640625" style="4" customWidth="1"/>
    <col min="297" max="297" width="5" style="4" customWidth="1"/>
    <col min="298" max="303" width="3" style="4" customWidth="1"/>
    <col min="304" max="304" width="14.33203125" style="4" customWidth="1"/>
    <col min="305" max="305" width="5.83203125" style="4" customWidth="1"/>
    <col min="306" max="512" width="3" style="4" customWidth="1"/>
    <col min="513" max="527" width="2.83203125" style="4" customWidth="1"/>
    <col min="528" max="528" width="3.1640625" style="4" customWidth="1"/>
    <col min="529" max="534" width="2.83203125" style="4" customWidth="1"/>
    <col min="535" max="535" width="3.5" style="4" customWidth="1"/>
    <col min="536" max="546" width="2.83203125" style="4" customWidth="1"/>
    <col min="547" max="547" width="2.5" style="4" customWidth="1"/>
    <col min="548" max="548" width="0.1640625" style="4" customWidth="1"/>
    <col min="549" max="549" width="14.1640625" style="4" customWidth="1"/>
    <col min="550" max="550" width="5.6640625" style="4" customWidth="1"/>
    <col min="551" max="551" width="4.83203125" style="4" customWidth="1"/>
    <col min="552" max="552" width="5.6640625" style="4" customWidth="1"/>
    <col min="553" max="553" width="5" style="4" customWidth="1"/>
    <col min="554" max="559" width="3" style="4" customWidth="1"/>
    <col min="560" max="560" width="14.33203125" style="4" customWidth="1"/>
    <col min="561" max="561" width="5.83203125" style="4" customWidth="1"/>
    <col min="562" max="768" width="3" style="4" customWidth="1"/>
    <col min="769" max="783" width="2.83203125" style="4" customWidth="1"/>
    <col min="784" max="784" width="3.1640625" style="4" customWidth="1"/>
    <col min="785" max="790" width="2.83203125" style="4" customWidth="1"/>
    <col min="791" max="791" width="3.5" style="4" customWidth="1"/>
    <col min="792" max="802" width="2.83203125" style="4" customWidth="1"/>
    <col min="803" max="803" width="2.5" style="4" customWidth="1"/>
    <col min="804" max="804" width="0.1640625" style="4" customWidth="1"/>
    <col min="805" max="805" width="14.1640625" style="4" customWidth="1"/>
    <col min="806" max="806" width="5.6640625" style="4" customWidth="1"/>
    <col min="807" max="807" width="4.83203125" style="4" customWidth="1"/>
    <col min="808" max="808" width="5.6640625" style="4" customWidth="1"/>
    <col min="809" max="809" width="5" style="4" customWidth="1"/>
    <col min="810" max="815" width="3" style="4" customWidth="1"/>
    <col min="816" max="816" width="14.33203125" style="4" customWidth="1"/>
    <col min="817" max="817" width="5.83203125" style="4" customWidth="1"/>
    <col min="818" max="1024" width="3" style="4" customWidth="1"/>
    <col min="1025" max="1039" width="2.83203125" style="4" customWidth="1"/>
    <col min="1040" max="1040" width="3.1640625" style="4" customWidth="1"/>
    <col min="1041" max="1046" width="2.83203125" style="4" customWidth="1"/>
    <col min="1047" max="1047" width="3.5" style="4" customWidth="1"/>
    <col min="1048" max="1058" width="2.83203125" style="4" customWidth="1"/>
    <col min="1059" max="1059" width="2.5" style="4" customWidth="1"/>
    <col min="1060" max="1060" width="0.1640625" style="4" customWidth="1"/>
    <col min="1061" max="1061" width="14.1640625" style="4" customWidth="1"/>
    <col min="1062" max="1062" width="5.6640625" style="4" customWidth="1"/>
    <col min="1063" max="1063" width="4.83203125" style="4" customWidth="1"/>
    <col min="1064" max="1064" width="5.6640625" style="4" customWidth="1"/>
    <col min="1065" max="1065" width="5" style="4" customWidth="1"/>
    <col min="1066" max="1071" width="3" style="4" customWidth="1"/>
    <col min="1072" max="1072" width="14.33203125" style="4" customWidth="1"/>
    <col min="1073" max="1073" width="5.83203125" style="4" customWidth="1"/>
    <col min="1074" max="1280" width="3" style="4" customWidth="1"/>
    <col min="1281" max="1295" width="2.83203125" style="4" customWidth="1"/>
    <col min="1296" max="1296" width="3.1640625" style="4" customWidth="1"/>
    <col min="1297" max="1302" width="2.83203125" style="4" customWidth="1"/>
    <col min="1303" max="1303" width="3.5" style="4" customWidth="1"/>
    <col min="1304" max="1314" width="2.83203125" style="4" customWidth="1"/>
    <col min="1315" max="1315" width="2.5" style="4" customWidth="1"/>
    <col min="1316" max="1316" width="0.1640625" style="4" customWidth="1"/>
    <col min="1317" max="1317" width="14.1640625" style="4" customWidth="1"/>
    <col min="1318" max="1318" width="5.6640625" style="4" customWidth="1"/>
    <col min="1319" max="1319" width="4.83203125" style="4" customWidth="1"/>
    <col min="1320" max="1320" width="5.6640625" style="4" customWidth="1"/>
    <col min="1321" max="1321" width="5" style="4" customWidth="1"/>
    <col min="1322" max="1327" width="3" style="4" customWidth="1"/>
    <col min="1328" max="1328" width="14.33203125" style="4" customWidth="1"/>
    <col min="1329" max="1329" width="5.83203125" style="4" customWidth="1"/>
    <col min="1330" max="1536" width="3" style="4" customWidth="1"/>
    <col min="1537" max="1551" width="2.83203125" style="4" customWidth="1"/>
    <col min="1552" max="1552" width="3.1640625" style="4" customWidth="1"/>
    <col min="1553" max="1558" width="2.83203125" style="4" customWidth="1"/>
    <col min="1559" max="1559" width="3.5" style="4" customWidth="1"/>
    <col min="1560" max="1570" width="2.83203125" style="4" customWidth="1"/>
    <col min="1571" max="1571" width="2.5" style="4" customWidth="1"/>
    <col min="1572" max="1572" width="0.1640625" style="4" customWidth="1"/>
    <col min="1573" max="1573" width="14.1640625" style="4" customWidth="1"/>
    <col min="1574" max="1574" width="5.6640625" style="4" customWidth="1"/>
    <col min="1575" max="1575" width="4.83203125" style="4" customWidth="1"/>
    <col min="1576" max="1576" width="5.6640625" style="4" customWidth="1"/>
    <col min="1577" max="1577" width="5" style="4" customWidth="1"/>
    <col min="1578" max="1583" width="3" style="4" customWidth="1"/>
    <col min="1584" max="1584" width="14.33203125" style="4" customWidth="1"/>
    <col min="1585" max="1585" width="5.83203125" style="4" customWidth="1"/>
    <col min="1586" max="1792" width="3" style="4" customWidth="1"/>
    <col min="1793" max="1807" width="2.83203125" style="4" customWidth="1"/>
    <col min="1808" max="1808" width="3.1640625" style="4" customWidth="1"/>
    <col min="1809" max="1814" width="2.83203125" style="4" customWidth="1"/>
    <col min="1815" max="1815" width="3.5" style="4" customWidth="1"/>
    <col min="1816" max="1826" width="2.83203125" style="4" customWidth="1"/>
    <col min="1827" max="1827" width="2.5" style="4" customWidth="1"/>
    <col min="1828" max="1828" width="0.1640625" style="4" customWidth="1"/>
    <col min="1829" max="1829" width="14.1640625" style="4" customWidth="1"/>
    <col min="1830" max="1830" width="5.6640625" style="4" customWidth="1"/>
    <col min="1831" max="1831" width="4.83203125" style="4" customWidth="1"/>
    <col min="1832" max="1832" width="5.6640625" style="4" customWidth="1"/>
    <col min="1833" max="1833" width="5" style="4" customWidth="1"/>
    <col min="1834" max="1839" width="3" style="4" customWidth="1"/>
    <col min="1840" max="1840" width="14.33203125" style="4" customWidth="1"/>
    <col min="1841" max="1841" width="5.83203125" style="4" customWidth="1"/>
    <col min="1842" max="2048" width="3" style="4" customWidth="1"/>
    <col min="2049" max="2063" width="2.83203125" style="4" customWidth="1"/>
    <col min="2064" max="2064" width="3.1640625" style="4" customWidth="1"/>
    <col min="2065" max="2070" width="2.83203125" style="4" customWidth="1"/>
    <col min="2071" max="2071" width="3.5" style="4" customWidth="1"/>
    <col min="2072" max="2082" width="2.83203125" style="4" customWidth="1"/>
    <col min="2083" max="2083" width="2.5" style="4" customWidth="1"/>
    <col min="2084" max="2084" width="0.1640625" style="4" customWidth="1"/>
    <col min="2085" max="2085" width="14.1640625" style="4" customWidth="1"/>
    <col min="2086" max="2086" width="5.6640625" style="4" customWidth="1"/>
    <col min="2087" max="2087" width="4.83203125" style="4" customWidth="1"/>
    <col min="2088" max="2088" width="5.6640625" style="4" customWidth="1"/>
    <col min="2089" max="2089" width="5" style="4" customWidth="1"/>
    <col min="2090" max="2095" width="3" style="4" customWidth="1"/>
    <col min="2096" max="2096" width="14.33203125" style="4" customWidth="1"/>
    <col min="2097" max="2097" width="5.83203125" style="4" customWidth="1"/>
    <col min="2098" max="2304" width="3" style="4" customWidth="1"/>
    <col min="2305" max="2319" width="2.83203125" style="4" customWidth="1"/>
    <col min="2320" max="2320" width="3.1640625" style="4" customWidth="1"/>
    <col min="2321" max="2326" width="2.83203125" style="4" customWidth="1"/>
    <col min="2327" max="2327" width="3.5" style="4" customWidth="1"/>
    <col min="2328" max="2338" width="2.83203125" style="4" customWidth="1"/>
    <col min="2339" max="2339" width="2.5" style="4" customWidth="1"/>
    <col min="2340" max="2340" width="0.1640625" style="4" customWidth="1"/>
    <col min="2341" max="2341" width="14.1640625" style="4" customWidth="1"/>
    <col min="2342" max="2342" width="5.6640625" style="4" customWidth="1"/>
    <col min="2343" max="2343" width="4.83203125" style="4" customWidth="1"/>
    <col min="2344" max="2344" width="5.6640625" style="4" customWidth="1"/>
    <col min="2345" max="2345" width="5" style="4" customWidth="1"/>
    <col min="2346" max="2351" width="3" style="4" customWidth="1"/>
    <col min="2352" max="2352" width="14.33203125" style="4" customWidth="1"/>
    <col min="2353" max="2353" width="5.83203125" style="4" customWidth="1"/>
    <col min="2354" max="2560" width="3" style="4" customWidth="1"/>
    <col min="2561" max="2575" width="2.83203125" style="4" customWidth="1"/>
    <col min="2576" max="2576" width="3.1640625" style="4" customWidth="1"/>
    <col min="2577" max="2582" width="2.83203125" style="4" customWidth="1"/>
    <col min="2583" max="2583" width="3.5" style="4" customWidth="1"/>
    <col min="2584" max="2594" width="2.83203125" style="4" customWidth="1"/>
    <col min="2595" max="2595" width="2.5" style="4" customWidth="1"/>
    <col min="2596" max="2596" width="0.1640625" style="4" customWidth="1"/>
    <col min="2597" max="2597" width="14.1640625" style="4" customWidth="1"/>
    <col min="2598" max="2598" width="5.6640625" style="4" customWidth="1"/>
    <col min="2599" max="2599" width="4.83203125" style="4" customWidth="1"/>
    <col min="2600" max="2600" width="5.6640625" style="4" customWidth="1"/>
    <col min="2601" max="2601" width="5" style="4" customWidth="1"/>
    <col min="2602" max="2607" width="3" style="4" customWidth="1"/>
    <col min="2608" max="2608" width="14.33203125" style="4" customWidth="1"/>
    <col min="2609" max="2609" width="5.83203125" style="4" customWidth="1"/>
    <col min="2610" max="2816" width="3" style="4" customWidth="1"/>
    <col min="2817" max="2831" width="2.83203125" style="4" customWidth="1"/>
    <col min="2832" max="2832" width="3.1640625" style="4" customWidth="1"/>
    <col min="2833" max="2838" width="2.83203125" style="4" customWidth="1"/>
    <col min="2839" max="2839" width="3.5" style="4" customWidth="1"/>
    <col min="2840" max="2850" width="2.83203125" style="4" customWidth="1"/>
    <col min="2851" max="2851" width="2.5" style="4" customWidth="1"/>
    <col min="2852" max="2852" width="0.1640625" style="4" customWidth="1"/>
    <col min="2853" max="2853" width="14.1640625" style="4" customWidth="1"/>
    <col min="2854" max="2854" width="5.6640625" style="4" customWidth="1"/>
    <col min="2855" max="2855" width="4.83203125" style="4" customWidth="1"/>
    <col min="2856" max="2856" width="5.6640625" style="4" customWidth="1"/>
    <col min="2857" max="2857" width="5" style="4" customWidth="1"/>
    <col min="2858" max="2863" width="3" style="4" customWidth="1"/>
    <col min="2864" max="2864" width="14.33203125" style="4" customWidth="1"/>
    <col min="2865" max="2865" width="5.83203125" style="4" customWidth="1"/>
    <col min="2866" max="3072" width="3" style="4" customWidth="1"/>
    <col min="3073" max="3087" width="2.83203125" style="4" customWidth="1"/>
    <col min="3088" max="3088" width="3.1640625" style="4" customWidth="1"/>
    <col min="3089" max="3094" width="2.83203125" style="4" customWidth="1"/>
    <col min="3095" max="3095" width="3.5" style="4" customWidth="1"/>
    <col min="3096" max="3106" width="2.83203125" style="4" customWidth="1"/>
    <col min="3107" max="3107" width="2.5" style="4" customWidth="1"/>
    <col min="3108" max="3108" width="0.1640625" style="4" customWidth="1"/>
    <col min="3109" max="3109" width="14.1640625" style="4" customWidth="1"/>
    <col min="3110" max="3110" width="5.6640625" style="4" customWidth="1"/>
    <col min="3111" max="3111" width="4.83203125" style="4" customWidth="1"/>
    <col min="3112" max="3112" width="5.6640625" style="4" customWidth="1"/>
    <col min="3113" max="3113" width="5" style="4" customWidth="1"/>
    <col min="3114" max="3119" width="3" style="4" customWidth="1"/>
    <col min="3120" max="3120" width="14.33203125" style="4" customWidth="1"/>
    <col min="3121" max="3121" width="5.83203125" style="4" customWidth="1"/>
    <col min="3122" max="3328" width="3" style="4" customWidth="1"/>
    <col min="3329" max="3343" width="2.83203125" style="4" customWidth="1"/>
    <col min="3344" max="3344" width="3.1640625" style="4" customWidth="1"/>
    <col min="3345" max="3350" width="2.83203125" style="4" customWidth="1"/>
    <col min="3351" max="3351" width="3.5" style="4" customWidth="1"/>
    <col min="3352" max="3362" width="2.83203125" style="4" customWidth="1"/>
    <col min="3363" max="3363" width="2.5" style="4" customWidth="1"/>
    <col min="3364" max="3364" width="0.1640625" style="4" customWidth="1"/>
    <col min="3365" max="3365" width="14.1640625" style="4" customWidth="1"/>
    <col min="3366" max="3366" width="5.6640625" style="4" customWidth="1"/>
    <col min="3367" max="3367" width="4.83203125" style="4" customWidth="1"/>
    <col min="3368" max="3368" width="5.6640625" style="4" customWidth="1"/>
    <col min="3369" max="3369" width="5" style="4" customWidth="1"/>
    <col min="3370" max="3375" width="3" style="4" customWidth="1"/>
    <col min="3376" max="3376" width="14.33203125" style="4" customWidth="1"/>
    <col min="3377" max="3377" width="5.83203125" style="4" customWidth="1"/>
    <col min="3378" max="3584" width="3" style="4" customWidth="1"/>
    <col min="3585" max="3599" width="2.83203125" style="4" customWidth="1"/>
    <col min="3600" max="3600" width="3.1640625" style="4" customWidth="1"/>
    <col min="3601" max="3606" width="2.83203125" style="4" customWidth="1"/>
    <col min="3607" max="3607" width="3.5" style="4" customWidth="1"/>
    <col min="3608" max="3618" width="2.83203125" style="4" customWidth="1"/>
    <col min="3619" max="3619" width="2.5" style="4" customWidth="1"/>
    <col min="3620" max="3620" width="0.1640625" style="4" customWidth="1"/>
    <col min="3621" max="3621" width="14.1640625" style="4" customWidth="1"/>
    <col min="3622" max="3622" width="5.6640625" style="4" customWidth="1"/>
    <col min="3623" max="3623" width="4.83203125" style="4" customWidth="1"/>
    <col min="3624" max="3624" width="5.6640625" style="4" customWidth="1"/>
    <col min="3625" max="3625" width="5" style="4" customWidth="1"/>
    <col min="3626" max="3631" width="3" style="4" customWidth="1"/>
    <col min="3632" max="3632" width="14.33203125" style="4" customWidth="1"/>
    <col min="3633" max="3633" width="5.83203125" style="4" customWidth="1"/>
    <col min="3634" max="3840" width="3" style="4" customWidth="1"/>
    <col min="3841" max="3855" width="2.83203125" style="4" customWidth="1"/>
    <col min="3856" max="3856" width="3.1640625" style="4" customWidth="1"/>
    <col min="3857" max="3862" width="2.83203125" style="4" customWidth="1"/>
    <col min="3863" max="3863" width="3.5" style="4" customWidth="1"/>
    <col min="3864" max="3874" width="2.83203125" style="4" customWidth="1"/>
    <col min="3875" max="3875" width="2.5" style="4" customWidth="1"/>
    <col min="3876" max="3876" width="0.1640625" style="4" customWidth="1"/>
    <col min="3877" max="3877" width="14.1640625" style="4" customWidth="1"/>
    <col min="3878" max="3878" width="5.6640625" style="4" customWidth="1"/>
    <col min="3879" max="3879" width="4.83203125" style="4" customWidth="1"/>
    <col min="3880" max="3880" width="5.6640625" style="4" customWidth="1"/>
    <col min="3881" max="3881" width="5" style="4" customWidth="1"/>
    <col min="3882" max="3887" width="3" style="4" customWidth="1"/>
    <col min="3888" max="3888" width="14.33203125" style="4" customWidth="1"/>
    <col min="3889" max="3889" width="5.83203125" style="4" customWidth="1"/>
    <col min="3890" max="4096" width="3" style="4" customWidth="1"/>
    <col min="4097" max="4111" width="2.83203125" style="4" customWidth="1"/>
    <col min="4112" max="4112" width="3.1640625" style="4" customWidth="1"/>
    <col min="4113" max="4118" width="2.83203125" style="4" customWidth="1"/>
    <col min="4119" max="4119" width="3.5" style="4" customWidth="1"/>
    <col min="4120" max="4130" width="2.83203125" style="4" customWidth="1"/>
    <col min="4131" max="4131" width="2.5" style="4" customWidth="1"/>
    <col min="4132" max="4132" width="0.1640625" style="4" customWidth="1"/>
    <col min="4133" max="4133" width="14.1640625" style="4" customWidth="1"/>
    <col min="4134" max="4134" width="5.6640625" style="4" customWidth="1"/>
    <col min="4135" max="4135" width="4.83203125" style="4" customWidth="1"/>
    <col min="4136" max="4136" width="5.6640625" style="4" customWidth="1"/>
    <col min="4137" max="4137" width="5" style="4" customWidth="1"/>
    <col min="4138" max="4143" width="3" style="4" customWidth="1"/>
    <col min="4144" max="4144" width="14.33203125" style="4" customWidth="1"/>
    <col min="4145" max="4145" width="5.83203125" style="4" customWidth="1"/>
    <col min="4146" max="4352" width="3" style="4" customWidth="1"/>
    <col min="4353" max="4367" width="2.83203125" style="4" customWidth="1"/>
    <col min="4368" max="4368" width="3.1640625" style="4" customWidth="1"/>
    <col min="4369" max="4374" width="2.83203125" style="4" customWidth="1"/>
    <col min="4375" max="4375" width="3.5" style="4" customWidth="1"/>
    <col min="4376" max="4386" width="2.83203125" style="4" customWidth="1"/>
    <col min="4387" max="4387" width="2.5" style="4" customWidth="1"/>
    <col min="4388" max="4388" width="0.1640625" style="4" customWidth="1"/>
    <col min="4389" max="4389" width="14.1640625" style="4" customWidth="1"/>
    <col min="4390" max="4390" width="5.6640625" style="4" customWidth="1"/>
    <col min="4391" max="4391" width="4.83203125" style="4" customWidth="1"/>
    <col min="4392" max="4392" width="5.6640625" style="4" customWidth="1"/>
    <col min="4393" max="4393" width="5" style="4" customWidth="1"/>
    <col min="4394" max="4399" width="3" style="4" customWidth="1"/>
    <col min="4400" max="4400" width="14.33203125" style="4" customWidth="1"/>
    <col min="4401" max="4401" width="5.83203125" style="4" customWidth="1"/>
    <col min="4402" max="4608" width="3" style="4" customWidth="1"/>
    <col min="4609" max="4623" width="2.83203125" style="4" customWidth="1"/>
    <col min="4624" max="4624" width="3.1640625" style="4" customWidth="1"/>
    <col min="4625" max="4630" width="2.83203125" style="4" customWidth="1"/>
    <col min="4631" max="4631" width="3.5" style="4" customWidth="1"/>
    <col min="4632" max="4642" width="2.83203125" style="4" customWidth="1"/>
    <col min="4643" max="4643" width="2.5" style="4" customWidth="1"/>
    <col min="4644" max="4644" width="0.1640625" style="4" customWidth="1"/>
    <col min="4645" max="4645" width="14.1640625" style="4" customWidth="1"/>
    <col min="4646" max="4646" width="5.6640625" style="4" customWidth="1"/>
    <col min="4647" max="4647" width="4.83203125" style="4" customWidth="1"/>
    <col min="4648" max="4648" width="5.6640625" style="4" customWidth="1"/>
    <col min="4649" max="4649" width="5" style="4" customWidth="1"/>
    <col min="4650" max="4655" width="3" style="4" customWidth="1"/>
    <col min="4656" max="4656" width="14.33203125" style="4" customWidth="1"/>
    <col min="4657" max="4657" width="5.83203125" style="4" customWidth="1"/>
    <col min="4658" max="4864" width="3" style="4" customWidth="1"/>
    <col min="4865" max="4879" width="2.83203125" style="4" customWidth="1"/>
    <col min="4880" max="4880" width="3.1640625" style="4" customWidth="1"/>
    <col min="4881" max="4886" width="2.83203125" style="4" customWidth="1"/>
    <col min="4887" max="4887" width="3.5" style="4" customWidth="1"/>
    <col min="4888" max="4898" width="2.83203125" style="4" customWidth="1"/>
    <col min="4899" max="4899" width="2.5" style="4" customWidth="1"/>
    <col min="4900" max="4900" width="0.1640625" style="4" customWidth="1"/>
    <col min="4901" max="4901" width="14.1640625" style="4" customWidth="1"/>
    <col min="4902" max="4902" width="5.6640625" style="4" customWidth="1"/>
    <col min="4903" max="4903" width="4.83203125" style="4" customWidth="1"/>
    <col min="4904" max="4904" width="5.6640625" style="4" customWidth="1"/>
    <col min="4905" max="4905" width="5" style="4" customWidth="1"/>
    <col min="4906" max="4911" width="3" style="4" customWidth="1"/>
    <col min="4912" max="4912" width="14.33203125" style="4" customWidth="1"/>
    <col min="4913" max="4913" width="5.83203125" style="4" customWidth="1"/>
    <col min="4914" max="5120" width="3" style="4" customWidth="1"/>
    <col min="5121" max="5135" width="2.83203125" style="4" customWidth="1"/>
    <col min="5136" max="5136" width="3.1640625" style="4" customWidth="1"/>
    <col min="5137" max="5142" width="2.83203125" style="4" customWidth="1"/>
    <col min="5143" max="5143" width="3.5" style="4" customWidth="1"/>
    <col min="5144" max="5154" width="2.83203125" style="4" customWidth="1"/>
    <col min="5155" max="5155" width="2.5" style="4" customWidth="1"/>
    <col min="5156" max="5156" width="0.1640625" style="4" customWidth="1"/>
    <col min="5157" max="5157" width="14.1640625" style="4" customWidth="1"/>
    <col min="5158" max="5158" width="5.6640625" style="4" customWidth="1"/>
    <col min="5159" max="5159" width="4.83203125" style="4" customWidth="1"/>
    <col min="5160" max="5160" width="5.6640625" style="4" customWidth="1"/>
    <col min="5161" max="5161" width="5" style="4" customWidth="1"/>
    <col min="5162" max="5167" width="3" style="4" customWidth="1"/>
    <col min="5168" max="5168" width="14.33203125" style="4" customWidth="1"/>
    <col min="5169" max="5169" width="5.83203125" style="4" customWidth="1"/>
    <col min="5170" max="5376" width="3" style="4" customWidth="1"/>
    <col min="5377" max="5391" width="2.83203125" style="4" customWidth="1"/>
    <col min="5392" max="5392" width="3.1640625" style="4" customWidth="1"/>
    <col min="5393" max="5398" width="2.83203125" style="4" customWidth="1"/>
    <col min="5399" max="5399" width="3.5" style="4" customWidth="1"/>
    <col min="5400" max="5410" width="2.83203125" style="4" customWidth="1"/>
    <col min="5411" max="5411" width="2.5" style="4" customWidth="1"/>
    <col min="5412" max="5412" width="0.1640625" style="4" customWidth="1"/>
    <col min="5413" max="5413" width="14.1640625" style="4" customWidth="1"/>
    <col min="5414" max="5414" width="5.6640625" style="4" customWidth="1"/>
    <col min="5415" max="5415" width="4.83203125" style="4" customWidth="1"/>
    <col min="5416" max="5416" width="5.6640625" style="4" customWidth="1"/>
    <col min="5417" max="5417" width="5" style="4" customWidth="1"/>
    <col min="5418" max="5423" width="3" style="4" customWidth="1"/>
    <col min="5424" max="5424" width="14.33203125" style="4" customWidth="1"/>
    <col min="5425" max="5425" width="5.83203125" style="4" customWidth="1"/>
    <col min="5426" max="5632" width="3" style="4" customWidth="1"/>
    <col min="5633" max="5647" width="2.83203125" style="4" customWidth="1"/>
    <col min="5648" max="5648" width="3.1640625" style="4" customWidth="1"/>
    <col min="5649" max="5654" width="2.83203125" style="4" customWidth="1"/>
    <col min="5655" max="5655" width="3.5" style="4" customWidth="1"/>
    <col min="5656" max="5666" width="2.83203125" style="4" customWidth="1"/>
    <col min="5667" max="5667" width="2.5" style="4" customWidth="1"/>
    <col min="5668" max="5668" width="0.1640625" style="4" customWidth="1"/>
    <col min="5669" max="5669" width="14.1640625" style="4" customWidth="1"/>
    <col min="5670" max="5670" width="5.6640625" style="4" customWidth="1"/>
    <col min="5671" max="5671" width="4.83203125" style="4" customWidth="1"/>
    <col min="5672" max="5672" width="5.6640625" style="4" customWidth="1"/>
    <col min="5673" max="5673" width="5" style="4" customWidth="1"/>
    <col min="5674" max="5679" width="3" style="4" customWidth="1"/>
    <col min="5680" max="5680" width="14.33203125" style="4" customWidth="1"/>
    <col min="5681" max="5681" width="5.83203125" style="4" customWidth="1"/>
    <col min="5682" max="5888" width="3" style="4" customWidth="1"/>
    <col min="5889" max="5903" width="2.83203125" style="4" customWidth="1"/>
    <col min="5904" max="5904" width="3.1640625" style="4" customWidth="1"/>
    <col min="5905" max="5910" width="2.83203125" style="4" customWidth="1"/>
    <col min="5911" max="5911" width="3.5" style="4" customWidth="1"/>
    <col min="5912" max="5922" width="2.83203125" style="4" customWidth="1"/>
    <col min="5923" max="5923" width="2.5" style="4" customWidth="1"/>
    <col min="5924" max="5924" width="0.1640625" style="4" customWidth="1"/>
    <col min="5925" max="5925" width="14.1640625" style="4" customWidth="1"/>
    <col min="5926" max="5926" width="5.6640625" style="4" customWidth="1"/>
    <col min="5927" max="5927" width="4.83203125" style="4" customWidth="1"/>
    <col min="5928" max="5928" width="5.6640625" style="4" customWidth="1"/>
    <col min="5929" max="5929" width="5" style="4" customWidth="1"/>
    <col min="5930" max="5935" width="3" style="4" customWidth="1"/>
    <col min="5936" max="5936" width="14.33203125" style="4" customWidth="1"/>
    <col min="5937" max="5937" width="5.83203125" style="4" customWidth="1"/>
    <col min="5938" max="6144" width="3" style="4" customWidth="1"/>
    <col min="6145" max="6159" width="2.83203125" style="4" customWidth="1"/>
    <col min="6160" max="6160" width="3.1640625" style="4" customWidth="1"/>
    <col min="6161" max="6166" width="2.83203125" style="4" customWidth="1"/>
    <col min="6167" max="6167" width="3.5" style="4" customWidth="1"/>
    <col min="6168" max="6178" width="2.83203125" style="4" customWidth="1"/>
    <col min="6179" max="6179" width="2.5" style="4" customWidth="1"/>
    <col min="6180" max="6180" width="0.1640625" style="4" customWidth="1"/>
    <col min="6181" max="6181" width="14.1640625" style="4" customWidth="1"/>
    <col min="6182" max="6182" width="5.6640625" style="4" customWidth="1"/>
    <col min="6183" max="6183" width="4.83203125" style="4" customWidth="1"/>
    <col min="6184" max="6184" width="5.6640625" style="4" customWidth="1"/>
    <col min="6185" max="6185" width="5" style="4" customWidth="1"/>
    <col min="6186" max="6191" width="3" style="4" customWidth="1"/>
    <col min="6192" max="6192" width="14.33203125" style="4" customWidth="1"/>
    <col min="6193" max="6193" width="5.83203125" style="4" customWidth="1"/>
    <col min="6194" max="6400" width="3" style="4" customWidth="1"/>
    <col min="6401" max="6415" width="2.83203125" style="4" customWidth="1"/>
    <col min="6416" max="6416" width="3.1640625" style="4" customWidth="1"/>
    <col min="6417" max="6422" width="2.83203125" style="4" customWidth="1"/>
    <col min="6423" max="6423" width="3.5" style="4" customWidth="1"/>
    <col min="6424" max="6434" width="2.83203125" style="4" customWidth="1"/>
    <col min="6435" max="6435" width="2.5" style="4" customWidth="1"/>
    <col min="6436" max="6436" width="0.1640625" style="4" customWidth="1"/>
    <col min="6437" max="6437" width="14.1640625" style="4" customWidth="1"/>
    <col min="6438" max="6438" width="5.6640625" style="4" customWidth="1"/>
    <col min="6439" max="6439" width="4.83203125" style="4" customWidth="1"/>
    <col min="6440" max="6440" width="5.6640625" style="4" customWidth="1"/>
    <col min="6441" max="6441" width="5" style="4" customWidth="1"/>
    <col min="6442" max="6447" width="3" style="4" customWidth="1"/>
    <col min="6448" max="6448" width="14.33203125" style="4" customWidth="1"/>
    <col min="6449" max="6449" width="5.83203125" style="4" customWidth="1"/>
    <col min="6450" max="6656" width="3" style="4" customWidth="1"/>
    <col min="6657" max="6671" width="2.83203125" style="4" customWidth="1"/>
    <col min="6672" max="6672" width="3.1640625" style="4" customWidth="1"/>
    <col min="6673" max="6678" width="2.83203125" style="4" customWidth="1"/>
    <col min="6679" max="6679" width="3.5" style="4" customWidth="1"/>
    <col min="6680" max="6690" width="2.83203125" style="4" customWidth="1"/>
    <col min="6691" max="6691" width="2.5" style="4" customWidth="1"/>
    <col min="6692" max="6692" width="0.1640625" style="4" customWidth="1"/>
    <col min="6693" max="6693" width="14.1640625" style="4" customWidth="1"/>
    <col min="6694" max="6694" width="5.6640625" style="4" customWidth="1"/>
    <col min="6695" max="6695" width="4.83203125" style="4" customWidth="1"/>
    <col min="6696" max="6696" width="5.6640625" style="4" customWidth="1"/>
    <col min="6697" max="6697" width="5" style="4" customWidth="1"/>
    <col min="6698" max="6703" width="3" style="4" customWidth="1"/>
    <col min="6704" max="6704" width="14.33203125" style="4" customWidth="1"/>
    <col min="6705" max="6705" width="5.83203125" style="4" customWidth="1"/>
    <col min="6706" max="6912" width="3" style="4" customWidth="1"/>
    <col min="6913" max="6927" width="2.83203125" style="4" customWidth="1"/>
    <col min="6928" max="6928" width="3.1640625" style="4" customWidth="1"/>
    <col min="6929" max="6934" width="2.83203125" style="4" customWidth="1"/>
    <col min="6935" max="6935" width="3.5" style="4" customWidth="1"/>
    <col min="6936" max="6946" width="2.83203125" style="4" customWidth="1"/>
    <col min="6947" max="6947" width="2.5" style="4" customWidth="1"/>
    <col min="6948" max="6948" width="0.1640625" style="4" customWidth="1"/>
    <col min="6949" max="6949" width="14.1640625" style="4" customWidth="1"/>
    <col min="6950" max="6950" width="5.6640625" style="4" customWidth="1"/>
    <col min="6951" max="6951" width="4.83203125" style="4" customWidth="1"/>
    <col min="6952" max="6952" width="5.6640625" style="4" customWidth="1"/>
    <col min="6953" max="6953" width="5" style="4" customWidth="1"/>
    <col min="6954" max="6959" width="3" style="4" customWidth="1"/>
    <col min="6960" max="6960" width="14.33203125" style="4" customWidth="1"/>
    <col min="6961" max="6961" width="5.83203125" style="4" customWidth="1"/>
    <col min="6962" max="7168" width="3" style="4" customWidth="1"/>
    <col min="7169" max="7183" width="2.83203125" style="4" customWidth="1"/>
    <col min="7184" max="7184" width="3.1640625" style="4" customWidth="1"/>
    <col min="7185" max="7190" width="2.83203125" style="4" customWidth="1"/>
    <col min="7191" max="7191" width="3.5" style="4" customWidth="1"/>
    <col min="7192" max="7202" width="2.83203125" style="4" customWidth="1"/>
    <col min="7203" max="7203" width="2.5" style="4" customWidth="1"/>
    <col min="7204" max="7204" width="0.1640625" style="4" customWidth="1"/>
    <col min="7205" max="7205" width="14.1640625" style="4" customWidth="1"/>
    <col min="7206" max="7206" width="5.6640625" style="4" customWidth="1"/>
    <col min="7207" max="7207" width="4.83203125" style="4" customWidth="1"/>
    <col min="7208" max="7208" width="5.6640625" style="4" customWidth="1"/>
    <col min="7209" max="7209" width="5" style="4" customWidth="1"/>
    <col min="7210" max="7215" width="3" style="4" customWidth="1"/>
    <col min="7216" max="7216" width="14.33203125" style="4" customWidth="1"/>
    <col min="7217" max="7217" width="5.83203125" style="4" customWidth="1"/>
    <col min="7218" max="7424" width="3" style="4" customWidth="1"/>
    <col min="7425" max="7439" width="2.83203125" style="4" customWidth="1"/>
    <col min="7440" max="7440" width="3.1640625" style="4" customWidth="1"/>
    <col min="7441" max="7446" width="2.83203125" style="4" customWidth="1"/>
    <col min="7447" max="7447" width="3.5" style="4" customWidth="1"/>
    <col min="7448" max="7458" width="2.83203125" style="4" customWidth="1"/>
    <col min="7459" max="7459" width="2.5" style="4" customWidth="1"/>
    <col min="7460" max="7460" width="0.1640625" style="4" customWidth="1"/>
    <col min="7461" max="7461" width="14.1640625" style="4" customWidth="1"/>
    <col min="7462" max="7462" width="5.6640625" style="4" customWidth="1"/>
    <col min="7463" max="7463" width="4.83203125" style="4" customWidth="1"/>
    <col min="7464" max="7464" width="5.6640625" style="4" customWidth="1"/>
    <col min="7465" max="7465" width="5" style="4" customWidth="1"/>
    <col min="7466" max="7471" width="3" style="4" customWidth="1"/>
    <col min="7472" max="7472" width="14.33203125" style="4" customWidth="1"/>
    <col min="7473" max="7473" width="5.83203125" style="4" customWidth="1"/>
    <col min="7474" max="7680" width="3" style="4" customWidth="1"/>
    <col min="7681" max="7695" width="2.83203125" style="4" customWidth="1"/>
    <col min="7696" max="7696" width="3.1640625" style="4" customWidth="1"/>
    <col min="7697" max="7702" width="2.83203125" style="4" customWidth="1"/>
    <col min="7703" max="7703" width="3.5" style="4" customWidth="1"/>
    <col min="7704" max="7714" width="2.83203125" style="4" customWidth="1"/>
    <col min="7715" max="7715" width="2.5" style="4" customWidth="1"/>
    <col min="7716" max="7716" width="0.1640625" style="4" customWidth="1"/>
    <col min="7717" max="7717" width="14.1640625" style="4" customWidth="1"/>
    <col min="7718" max="7718" width="5.6640625" style="4" customWidth="1"/>
    <col min="7719" max="7719" width="4.83203125" style="4" customWidth="1"/>
    <col min="7720" max="7720" width="5.6640625" style="4" customWidth="1"/>
    <col min="7721" max="7721" width="5" style="4" customWidth="1"/>
    <col min="7722" max="7727" width="3" style="4" customWidth="1"/>
    <col min="7728" max="7728" width="14.33203125" style="4" customWidth="1"/>
    <col min="7729" max="7729" width="5.83203125" style="4" customWidth="1"/>
    <col min="7730" max="7936" width="3" style="4" customWidth="1"/>
    <col min="7937" max="7951" width="2.83203125" style="4" customWidth="1"/>
    <col min="7952" max="7952" width="3.1640625" style="4" customWidth="1"/>
    <col min="7953" max="7958" width="2.83203125" style="4" customWidth="1"/>
    <col min="7959" max="7959" width="3.5" style="4" customWidth="1"/>
    <col min="7960" max="7970" width="2.83203125" style="4" customWidth="1"/>
    <col min="7971" max="7971" width="2.5" style="4" customWidth="1"/>
    <col min="7972" max="7972" width="0.1640625" style="4" customWidth="1"/>
    <col min="7973" max="7973" width="14.1640625" style="4" customWidth="1"/>
    <col min="7974" max="7974" width="5.6640625" style="4" customWidth="1"/>
    <col min="7975" max="7975" width="4.83203125" style="4" customWidth="1"/>
    <col min="7976" max="7976" width="5.6640625" style="4" customWidth="1"/>
    <col min="7977" max="7977" width="5" style="4" customWidth="1"/>
    <col min="7978" max="7983" width="3" style="4" customWidth="1"/>
    <col min="7984" max="7984" width="14.33203125" style="4" customWidth="1"/>
    <col min="7985" max="7985" width="5.83203125" style="4" customWidth="1"/>
    <col min="7986" max="8192" width="3" style="4" customWidth="1"/>
    <col min="8193" max="8207" width="2.83203125" style="4" customWidth="1"/>
    <col min="8208" max="8208" width="3.1640625" style="4" customWidth="1"/>
    <col min="8209" max="8214" width="2.83203125" style="4" customWidth="1"/>
    <col min="8215" max="8215" width="3.5" style="4" customWidth="1"/>
    <col min="8216" max="8226" width="2.83203125" style="4" customWidth="1"/>
    <col min="8227" max="8227" width="2.5" style="4" customWidth="1"/>
    <col min="8228" max="8228" width="0.1640625" style="4" customWidth="1"/>
    <col min="8229" max="8229" width="14.1640625" style="4" customWidth="1"/>
    <col min="8230" max="8230" width="5.6640625" style="4" customWidth="1"/>
    <col min="8231" max="8231" width="4.83203125" style="4" customWidth="1"/>
    <col min="8232" max="8232" width="5.6640625" style="4" customWidth="1"/>
    <col min="8233" max="8233" width="5" style="4" customWidth="1"/>
    <col min="8234" max="8239" width="3" style="4" customWidth="1"/>
    <col min="8240" max="8240" width="14.33203125" style="4" customWidth="1"/>
    <col min="8241" max="8241" width="5.83203125" style="4" customWidth="1"/>
    <col min="8242" max="8448" width="3" style="4" customWidth="1"/>
    <col min="8449" max="8463" width="2.83203125" style="4" customWidth="1"/>
    <col min="8464" max="8464" width="3.1640625" style="4" customWidth="1"/>
    <col min="8465" max="8470" width="2.83203125" style="4" customWidth="1"/>
    <col min="8471" max="8471" width="3.5" style="4" customWidth="1"/>
    <col min="8472" max="8482" width="2.83203125" style="4" customWidth="1"/>
    <col min="8483" max="8483" width="2.5" style="4" customWidth="1"/>
    <col min="8484" max="8484" width="0.1640625" style="4" customWidth="1"/>
    <col min="8485" max="8485" width="14.1640625" style="4" customWidth="1"/>
    <col min="8486" max="8486" width="5.6640625" style="4" customWidth="1"/>
    <col min="8487" max="8487" width="4.83203125" style="4" customWidth="1"/>
    <col min="8488" max="8488" width="5.6640625" style="4" customWidth="1"/>
    <col min="8489" max="8489" width="5" style="4" customWidth="1"/>
    <col min="8490" max="8495" width="3" style="4" customWidth="1"/>
    <col min="8496" max="8496" width="14.33203125" style="4" customWidth="1"/>
    <col min="8497" max="8497" width="5.83203125" style="4" customWidth="1"/>
    <col min="8498" max="8704" width="3" style="4" customWidth="1"/>
    <col min="8705" max="8719" width="2.83203125" style="4" customWidth="1"/>
    <col min="8720" max="8720" width="3.1640625" style="4" customWidth="1"/>
    <col min="8721" max="8726" width="2.83203125" style="4" customWidth="1"/>
    <col min="8727" max="8727" width="3.5" style="4" customWidth="1"/>
    <col min="8728" max="8738" width="2.83203125" style="4" customWidth="1"/>
    <col min="8739" max="8739" width="2.5" style="4" customWidth="1"/>
    <col min="8740" max="8740" width="0.1640625" style="4" customWidth="1"/>
    <col min="8741" max="8741" width="14.1640625" style="4" customWidth="1"/>
    <col min="8742" max="8742" width="5.6640625" style="4" customWidth="1"/>
    <col min="8743" max="8743" width="4.83203125" style="4" customWidth="1"/>
    <col min="8744" max="8744" width="5.6640625" style="4" customWidth="1"/>
    <col min="8745" max="8745" width="5" style="4" customWidth="1"/>
    <col min="8746" max="8751" width="3" style="4" customWidth="1"/>
    <col min="8752" max="8752" width="14.33203125" style="4" customWidth="1"/>
    <col min="8753" max="8753" width="5.83203125" style="4" customWidth="1"/>
    <col min="8754" max="8960" width="3" style="4" customWidth="1"/>
    <col min="8961" max="8975" width="2.83203125" style="4" customWidth="1"/>
    <col min="8976" max="8976" width="3.1640625" style="4" customWidth="1"/>
    <col min="8977" max="8982" width="2.83203125" style="4" customWidth="1"/>
    <col min="8983" max="8983" width="3.5" style="4" customWidth="1"/>
    <col min="8984" max="8994" width="2.83203125" style="4" customWidth="1"/>
    <col min="8995" max="8995" width="2.5" style="4" customWidth="1"/>
    <col min="8996" max="8996" width="0.1640625" style="4" customWidth="1"/>
    <col min="8997" max="8997" width="14.1640625" style="4" customWidth="1"/>
    <col min="8998" max="8998" width="5.6640625" style="4" customWidth="1"/>
    <col min="8999" max="8999" width="4.83203125" style="4" customWidth="1"/>
    <col min="9000" max="9000" width="5.6640625" style="4" customWidth="1"/>
    <col min="9001" max="9001" width="5" style="4" customWidth="1"/>
    <col min="9002" max="9007" width="3" style="4" customWidth="1"/>
    <col min="9008" max="9008" width="14.33203125" style="4" customWidth="1"/>
    <col min="9009" max="9009" width="5.83203125" style="4" customWidth="1"/>
    <col min="9010" max="9216" width="3" style="4" customWidth="1"/>
    <col min="9217" max="9231" width="2.83203125" style="4" customWidth="1"/>
    <col min="9232" max="9232" width="3.1640625" style="4" customWidth="1"/>
    <col min="9233" max="9238" width="2.83203125" style="4" customWidth="1"/>
    <col min="9239" max="9239" width="3.5" style="4" customWidth="1"/>
    <col min="9240" max="9250" width="2.83203125" style="4" customWidth="1"/>
    <col min="9251" max="9251" width="2.5" style="4" customWidth="1"/>
    <col min="9252" max="9252" width="0.1640625" style="4" customWidth="1"/>
    <col min="9253" max="9253" width="14.1640625" style="4" customWidth="1"/>
    <col min="9254" max="9254" width="5.6640625" style="4" customWidth="1"/>
    <col min="9255" max="9255" width="4.83203125" style="4" customWidth="1"/>
    <col min="9256" max="9256" width="5.6640625" style="4" customWidth="1"/>
    <col min="9257" max="9257" width="5" style="4" customWidth="1"/>
    <col min="9258" max="9263" width="3" style="4" customWidth="1"/>
    <col min="9264" max="9264" width="14.33203125" style="4" customWidth="1"/>
    <col min="9265" max="9265" width="5.83203125" style="4" customWidth="1"/>
    <col min="9266" max="9472" width="3" style="4" customWidth="1"/>
    <col min="9473" max="9487" width="2.83203125" style="4" customWidth="1"/>
    <col min="9488" max="9488" width="3.1640625" style="4" customWidth="1"/>
    <col min="9489" max="9494" width="2.83203125" style="4" customWidth="1"/>
    <col min="9495" max="9495" width="3.5" style="4" customWidth="1"/>
    <col min="9496" max="9506" width="2.83203125" style="4" customWidth="1"/>
    <col min="9507" max="9507" width="2.5" style="4" customWidth="1"/>
    <col min="9508" max="9508" width="0.1640625" style="4" customWidth="1"/>
    <col min="9509" max="9509" width="14.1640625" style="4" customWidth="1"/>
    <col min="9510" max="9510" width="5.6640625" style="4" customWidth="1"/>
    <col min="9511" max="9511" width="4.83203125" style="4" customWidth="1"/>
    <col min="9512" max="9512" width="5.6640625" style="4" customWidth="1"/>
    <col min="9513" max="9513" width="5" style="4" customWidth="1"/>
    <col min="9514" max="9519" width="3" style="4" customWidth="1"/>
    <col min="9520" max="9520" width="14.33203125" style="4" customWidth="1"/>
    <col min="9521" max="9521" width="5.83203125" style="4" customWidth="1"/>
    <col min="9522" max="9728" width="3" style="4" customWidth="1"/>
    <col min="9729" max="9743" width="2.83203125" style="4" customWidth="1"/>
    <col min="9744" max="9744" width="3.1640625" style="4" customWidth="1"/>
    <col min="9745" max="9750" width="2.83203125" style="4" customWidth="1"/>
    <col min="9751" max="9751" width="3.5" style="4" customWidth="1"/>
    <col min="9752" max="9762" width="2.83203125" style="4" customWidth="1"/>
    <col min="9763" max="9763" width="2.5" style="4" customWidth="1"/>
    <col min="9764" max="9764" width="0.1640625" style="4" customWidth="1"/>
    <col min="9765" max="9765" width="14.1640625" style="4" customWidth="1"/>
    <col min="9766" max="9766" width="5.6640625" style="4" customWidth="1"/>
    <col min="9767" max="9767" width="4.83203125" style="4" customWidth="1"/>
    <col min="9768" max="9768" width="5.6640625" style="4" customWidth="1"/>
    <col min="9769" max="9769" width="5" style="4" customWidth="1"/>
    <col min="9770" max="9775" width="3" style="4" customWidth="1"/>
    <col min="9776" max="9776" width="14.33203125" style="4" customWidth="1"/>
    <col min="9777" max="9777" width="5.83203125" style="4" customWidth="1"/>
    <col min="9778" max="9984" width="3" style="4" customWidth="1"/>
    <col min="9985" max="9999" width="2.83203125" style="4" customWidth="1"/>
    <col min="10000" max="10000" width="3.1640625" style="4" customWidth="1"/>
    <col min="10001" max="10006" width="2.83203125" style="4" customWidth="1"/>
    <col min="10007" max="10007" width="3.5" style="4" customWidth="1"/>
    <col min="10008" max="10018" width="2.83203125" style="4" customWidth="1"/>
    <col min="10019" max="10019" width="2.5" style="4" customWidth="1"/>
    <col min="10020" max="10020" width="0.1640625" style="4" customWidth="1"/>
    <col min="10021" max="10021" width="14.1640625" style="4" customWidth="1"/>
    <col min="10022" max="10022" width="5.6640625" style="4" customWidth="1"/>
    <col min="10023" max="10023" width="4.83203125" style="4" customWidth="1"/>
    <col min="10024" max="10024" width="5.6640625" style="4" customWidth="1"/>
    <col min="10025" max="10025" width="5" style="4" customWidth="1"/>
    <col min="10026" max="10031" width="3" style="4" customWidth="1"/>
    <col min="10032" max="10032" width="14.33203125" style="4" customWidth="1"/>
    <col min="10033" max="10033" width="5.83203125" style="4" customWidth="1"/>
    <col min="10034" max="10240" width="3" style="4" customWidth="1"/>
    <col min="10241" max="10255" width="2.83203125" style="4" customWidth="1"/>
    <col min="10256" max="10256" width="3.1640625" style="4" customWidth="1"/>
    <col min="10257" max="10262" width="2.83203125" style="4" customWidth="1"/>
    <col min="10263" max="10263" width="3.5" style="4" customWidth="1"/>
    <col min="10264" max="10274" width="2.83203125" style="4" customWidth="1"/>
    <col min="10275" max="10275" width="2.5" style="4" customWidth="1"/>
    <col min="10276" max="10276" width="0.1640625" style="4" customWidth="1"/>
    <col min="10277" max="10277" width="14.1640625" style="4" customWidth="1"/>
    <col min="10278" max="10278" width="5.6640625" style="4" customWidth="1"/>
    <col min="10279" max="10279" width="4.83203125" style="4" customWidth="1"/>
    <col min="10280" max="10280" width="5.6640625" style="4" customWidth="1"/>
    <col min="10281" max="10281" width="5" style="4" customWidth="1"/>
    <col min="10282" max="10287" width="3" style="4" customWidth="1"/>
    <col min="10288" max="10288" width="14.33203125" style="4" customWidth="1"/>
    <col min="10289" max="10289" width="5.83203125" style="4" customWidth="1"/>
    <col min="10290" max="10496" width="3" style="4" customWidth="1"/>
    <col min="10497" max="10511" width="2.83203125" style="4" customWidth="1"/>
    <col min="10512" max="10512" width="3.1640625" style="4" customWidth="1"/>
    <col min="10513" max="10518" width="2.83203125" style="4" customWidth="1"/>
    <col min="10519" max="10519" width="3.5" style="4" customWidth="1"/>
    <col min="10520" max="10530" width="2.83203125" style="4" customWidth="1"/>
    <col min="10531" max="10531" width="2.5" style="4" customWidth="1"/>
    <col min="10532" max="10532" width="0.1640625" style="4" customWidth="1"/>
    <col min="10533" max="10533" width="14.1640625" style="4" customWidth="1"/>
    <col min="10534" max="10534" width="5.6640625" style="4" customWidth="1"/>
    <col min="10535" max="10535" width="4.83203125" style="4" customWidth="1"/>
    <col min="10536" max="10536" width="5.6640625" style="4" customWidth="1"/>
    <col min="10537" max="10537" width="5" style="4" customWidth="1"/>
    <col min="10538" max="10543" width="3" style="4" customWidth="1"/>
    <col min="10544" max="10544" width="14.33203125" style="4" customWidth="1"/>
    <col min="10545" max="10545" width="5.83203125" style="4" customWidth="1"/>
    <col min="10546" max="10752" width="3" style="4" customWidth="1"/>
    <col min="10753" max="10767" width="2.83203125" style="4" customWidth="1"/>
    <col min="10768" max="10768" width="3.1640625" style="4" customWidth="1"/>
    <col min="10769" max="10774" width="2.83203125" style="4" customWidth="1"/>
    <col min="10775" max="10775" width="3.5" style="4" customWidth="1"/>
    <col min="10776" max="10786" width="2.83203125" style="4" customWidth="1"/>
    <col min="10787" max="10787" width="2.5" style="4" customWidth="1"/>
    <col min="10788" max="10788" width="0.1640625" style="4" customWidth="1"/>
    <col min="10789" max="10789" width="14.1640625" style="4" customWidth="1"/>
    <col min="10790" max="10790" width="5.6640625" style="4" customWidth="1"/>
    <col min="10791" max="10791" width="4.83203125" style="4" customWidth="1"/>
    <col min="10792" max="10792" width="5.6640625" style="4" customWidth="1"/>
    <col min="10793" max="10793" width="5" style="4" customWidth="1"/>
    <col min="10794" max="10799" width="3" style="4" customWidth="1"/>
    <col min="10800" max="10800" width="14.33203125" style="4" customWidth="1"/>
    <col min="10801" max="10801" width="5.83203125" style="4" customWidth="1"/>
    <col min="10802" max="11008" width="3" style="4" customWidth="1"/>
    <col min="11009" max="11023" width="2.83203125" style="4" customWidth="1"/>
    <col min="11024" max="11024" width="3.1640625" style="4" customWidth="1"/>
    <col min="11025" max="11030" width="2.83203125" style="4" customWidth="1"/>
    <col min="11031" max="11031" width="3.5" style="4" customWidth="1"/>
    <col min="11032" max="11042" width="2.83203125" style="4" customWidth="1"/>
    <col min="11043" max="11043" width="2.5" style="4" customWidth="1"/>
    <col min="11044" max="11044" width="0.1640625" style="4" customWidth="1"/>
    <col min="11045" max="11045" width="14.1640625" style="4" customWidth="1"/>
    <col min="11046" max="11046" width="5.6640625" style="4" customWidth="1"/>
    <col min="11047" max="11047" width="4.83203125" style="4" customWidth="1"/>
    <col min="11048" max="11048" width="5.6640625" style="4" customWidth="1"/>
    <col min="11049" max="11049" width="5" style="4" customWidth="1"/>
    <col min="11050" max="11055" width="3" style="4" customWidth="1"/>
    <col min="11056" max="11056" width="14.33203125" style="4" customWidth="1"/>
    <col min="11057" max="11057" width="5.83203125" style="4" customWidth="1"/>
    <col min="11058" max="11264" width="3" style="4" customWidth="1"/>
    <col min="11265" max="11279" width="2.83203125" style="4" customWidth="1"/>
    <col min="11280" max="11280" width="3.1640625" style="4" customWidth="1"/>
    <col min="11281" max="11286" width="2.83203125" style="4" customWidth="1"/>
    <col min="11287" max="11287" width="3.5" style="4" customWidth="1"/>
    <col min="11288" max="11298" width="2.83203125" style="4" customWidth="1"/>
    <col min="11299" max="11299" width="2.5" style="4" customWidth="1"/>
    <col min="11300" max="11300" width="0.1640625" style="4" customWidth="1"/>
    <col min="11301" max="11301" width="14.1640625" style="4" customWidth="1"/>
    <col min="11302" max="11302" width="5.6640625" style="4" customWidth="1"/>
    <col min="11303" max="11303" width="4.83203125" style="4" customWidth="1"/>
    <col min="11304" max="11304" width="5.6640625" style="4" customWidth="1"/>
    <col min="11305" max="11305" width="5" style="4" customWidth="1"/>
    <col min="11306" max="11311" width="3" style="4" customWidth="1"/>
    <col min="11312" max="11312" width="14.33203125" style="4" customWidth="1"/>
    <col min="11313" max="11313" width="5.83203125" style="4" customWidth="1"/>
    <col min="11314" max="11520" width="3" style="4" customWidth="1"/>
    <col min="11521" max="11535" width="2.83203125" style="4" customWidth="1"/>
    <col min="11536" max="11536" width="3.1640625" style="4" customWidth="1"/>
    <col min="11537" max="11542" width="2.83203125" style="4" customWidth="1"/>
    <col min="11543" max="11543" width="3.5" style="4" customWidth="1"/>
    <col min="11544" max="11554" width="2.83203125" style="4" customWidth="1"/>
    <col min="11555" max="11555" width="2.5" style="4" customWidth="1"/>
    <col min="11556" max="11556" width="0.1640625" style="4" customWidth="1"/>
    <col min="11557" max="11557" width="14.1640625" style="4" customWidth="1"/>
    <col min="11558" max="11558" width="5.6640625" style="4" customWidth="1"/>
    <col min="11559" max="11559" width="4.83203125" style="4" customWidth="1"/>
    <col min="11560" max="11560" width="5.6640625" style="4" customWidth="1"/>
    <col min="11561" max="11561" width="5" style="4" customWidth="1"/>
    <col min="11562" max="11567" width="3" style="4" customWidth="1"/>
    <col min="11568" max="11568" width="14.33203125" style="4" customWidth="1"/>
    <col min="11569" max="11569" width="5.83203125" style="4" customWidth="1"/>
    <col min="11570" max="11776" width="3" style="4" customWidth="1"/>
    <col min="11777" max="11791" width="2.83203125" style="4" customWidth="1"/>
    <col min="11792" max="11792" width="3.1640625" style="4" customWidth="1"/>
    <col min="11793" max="11798" width="2.83203125" style="4" customWidth="1"/>
    <col min="11799" max="11799" width="3.5" style="4" customWidth="1"/>
    <col min="11800" max="11810" width="2.83203125" style="4" customWidth="1"/>
    <col min="11811" max="11811" width="2.5" style="4" customWidth="1"/>
    <col min="11812" max="11812" width="0.1640625" style="4" customWidth="1"/>
    <col min="11813" max="11813" width="14.1640625" style="4" customWidth="1"/>
    <col min="11814" max="11814" width="5.6640625" style="4" customWidth="1"/>
    <col min="11815" max="11815" width="4.83203125" style="4" customWidth="1"/>
    <col min="11816" max="11816" width="5.6640625" style="4" customWidth="1"/>
    <col min="11817" max="11817" width="5" style="4" customWidth="1"/>
    <col min="11818" max="11823" width="3" style="4" customWidth="1"/>
    <col min="11824" max="11824" width="14.33203125" style="4" customWidth="1"/>
    <col min="11825" max="11825" width="5.83203125" style="4" customWidth="1"/>
    <col min="11826" max="12032" width="3" style="4" customWidth="1"/>
    <col min="12033" max="12047" width="2.83203125" style="4" customWidth="1"/>
    <col min="12048" max="12048" width="3.1640625" style="4" customWidth="1"/>
    <col min="12049" max="12054" width="2.83203125" style="4" customWidth="1"/>
    <col min="12055" max="12055" width="3.5" style="4" customWidth="1"/>
    <col min="12056" max="12066" width="2.83203125" style="4" customWidth="1"/>
    <col min="12067" max="12067" width="2.5" style="4" customWidth="1"/>
    <col min="12068" max="12068" width="0.1640625" style="4" customWidth="1"/>
    <col min="12069" max="12069" width="14.1640625" style="4" customWidth="1"/>
    <col min="12070" max="12070" width="5.6640625" style="4" customWidth="1"/>
    <col min="12071" max="12071" width="4.83203125" style="4" customWidth="1"/>
    <col min="12072" max="12072" width="5.6640625" style="4" customWidth="1"/>
    <col min="12073" max="12073" width="5" style="4" customWidth="1"/>
    <col min="12074" max="12079" width="3" style="4" customWidth="1"/>
    <col min="12080" max="12080" width="14.33203125" style="4" customWidth="1"/>
    <col min="12081" max="12081" width="5.83203125" style="4" customWidth="1"/>
    <col min="12082" max="12288" width="3" style="4" customWidth="1"/>
    <col min="12289" max="12303" width="2.83203125" style="4" customWidth="1"/>
    <col min="12304" max="12304" width="3.1640625" style="4" customWidth="1"/>
    <col min="12305" max="12310" width="2.83203125" style="4" customWidth="1"/>
    <col min="12311" max="12311" width="3.5" style="4" customWidth="1"/>
    <col min="12312" max="12322" width="2.83203125" style="4" customWidth="1"/>
    <col min="12323" max="12323" width="2.5" style="4" customWidth="1"/>
    <col min="12324" max="12324" width="0.1640625" style="4" customWidth="1"/>
    <col min="12325" max="12325" width="14.1640625" style="4" customWidth="1"/>
    <col min="12326" max="12326" width="5.6640625" style="4" customWidth="1"/>
    <col min="12327" max="12327" width="4.83203125" style="4" customWidth="1"/>
    <col min="12328" max="12328" width="5.6640625" style="4" customWidth="1"/>
    <col min="12329" max="12329" width="5" style="4" customWidth="1"/>
    <col min="12330" max="12335" width="3" style="4" customWidth="1"/>
    <col min="12336" max="12336" width="14.33203125" style="4" customWidth="1"/>
    <col min="12337" max="12337" width="5.83203125" style="4" customWidth="1"/>
    <col min="12338" max="12544" width="3" style="4" customWidth="1"/>
    <col min="12545" max="12559" width="2.83203125" style="4" customWidth="1"/>
    <col min="12560" max="12560" width="3.1640625" style="4" customWidth="1"/>
    <col min="12561" max="12566" width="2.83203125" style="4" customWidth="1"/>
    <col min="12567" max="12567" width="3.5" style="4" customWidth="1"/>
    <col min="12568" max="12578" width="2.83203125" style="4" customWidth="1"/>
    <col min="12579" max="12579" width="2.5" style="4" customWidth="1"/>
    <col min="12580" max="12580" width="0.1640625" style="4" customWidth="1"/>
    <col min="12581" max="12581" width="14.1640625" style="4" customWidth="1"/>
    <col min="12582" max="12582" width="5.6640625" style="4" customWidth="1"/>
    <col min="12583" max="12583" width="4.83203125" style="4" customWidth="1"/>
    <col min="12584" max="12584" width="5.6640625" style="4" customWidth="1"/>
    <col min="12585" max="12585" width="5" style="4" customWidth="1"/>
    <col min="12586" max="12591" width="3" style="4" customWidth="1"/>
    <col min="12592" max="12592" width="14.33203125" style="4" customWidth="1"/>
    <col min="12593" max="12593" width="5.83203125" style="4" customWidth="1"/>
    <col min="12594" max="12800" width="3" style="4" customWidth="1"/>
    <col min="12801" max="12815" width="2.83203125" style="4" customWidth="1"/>
    <col min="12816" max="12816" width="3.1640625" style="4" customWidth="1"/>
    <col min="12817" max="12822" width="2.83203125" style="4" customWidth="1"/>
    <col min="12823" max="12823" width="3.5" style="4" customWidth="1"/>
    <col min="12824" max="12834" width="2.83203125" style="4" customWidth="1"/>
    <col min="12835" max="12835" width="2.5" style="4" customWidth="1"/>
    <col min="12836" max="12836" width="0.1640625" style="4" customWidth="1"/>
    <col min="12837" max="12837" width="14.1640625" style="4" customWidth="1"/>
    <col min="12838" max="12838" width="5.6640625" style="4" customWidth="1"/>
    <col min="12839" max="12839" width="4.83203125" style="4" customWidth="1"/>
    <col min="12840" max="12840" width="5.6640625" style="4" customWidth="1"/>
    <col min="12841" max="12841" width="5" style="4" customWidth="1"/>
    <col min="12842" max="12847" width="3" style="4" customWidth="1"/>
    <col min="12848" max="12848" width="14.33203125" style="4" customWidth="1"/>
    <col min="12849" max="12849" width="5.83203125" style="4" customWidth="1"/>
    <col min="12850" max="13056" width="3" style="4" customWidth="1"/>
    <col min="13057" max="13071" width="2.83203125" style="4" customWidth="1"/>
    <col min="13072" max="13072" width="3.1640625" style="4" customWidth="1"/>
    <col min="13073" max="13078" width="2.83203125" style="4" customWidth="1"/>
    <col min="13079" max="13079" width="3.5" style="4" customWidth="1"/>
    <col min="13080" max="13090" width="2.83203125" style="4" customWidth="1"/>
    <col min="13091" max="13091" width="2.5" style="4" customWidth="1"/>
    <col min="13092" max="13092" width="0.1640625" style="4" customWidth="1"/>
    <col min="13093" max="13093" width="14.1640625" style="4" customWidth="1"/>
    <col min="13094" max="13094" width="5.6640625" style="4" customWidth="1"/>
    <col min="13095" max="13095" width="4.83203125" style="4" customWidth="1"/>
    <col min="13096" max="13096" width="5.6640625" style="4" customWidth="1"/>
    <col min="13097" max="13097" width="5" style="4" customWidth="1"/>
    <col min="13098" max="13103" width="3" style="4" customWidth="1"/>
    <col min="13104" max="13104" width="14.33203125" style="4" customWidth="1"/>
    <col min="13105" max="13105" width="5.83203125" style="4" customWidth="1"/>
    <col min="13106" max="13312" width="3" style="4" customWidth="1"/>
    <col min="13313" max="13327" width="2.83203125" style="4" customWidth="1"/>
    <col min="13328" max="13328" width="3.1640625" style="4" customWidth="1"/>
    <col min="13329" max="13334" width="2.83203125" style="4" customWidth="1"/>
    <col min="13335" max="13335" width="3.5" style="4" customWidth="1"/>
    <col min="13336" max="13346" width="2.83203125" style="4" customWidth="1"/>
    <col min="13347" max="13347" width="2.5" style="4" customWidth="1"/>
    <col min="13348" max="13348" width="0.1640625" style="4" customWidth="1"/>
    <col min="13349" max="13349" width="14.1640625" style="4" customWidth="1"/>
    <col min="13350" max="13350" width="5.6640625" style="4" customWidth="1"/>
    <col min="13351" max="13351" width="4.83203125" style="4" customWidth="1"/>
    <col min="13352" max="13352" width="5.6640625" style="4" customWidth="1"/>
    <col min="13353" max="13353" width="5" style="4" customWidth="1"/>
    <col min="13354" max="13359" width="3" style="4" customWidth="1"/>
    <col min="13360" max="13360" width="14.33203125" style="4" customWidth="1"/>
    <col min="13361" max="13361" width="5.83203125" style="4" customWidth="1"/>
    <col min="13362" max="13568" width="3" style="4" customWidth="1"/>
    <col min="13569" max="13583" width="2.83203125" style="4" customWidth="1"/>
    <col min="13584" max="13584" width="3.1640625" style="4" customWidth="1"/>
    <col min="13585" max="13590" width="2.83203125" style="4" customWidth="1"/>
    <col min="13591" max="13591" width="3.5" style="4" customWidth="1"/>
    <col min="13592" max="13602" width="2.83203125" style="4" customWidth="1"/>
    <col min="13603" max="13603" width="2.5" style="4" customWidth="1"/>
    <col min="13604" max="13604" width="0.1640625" style="4" customWidth="1"/>
    <col min="13605" max="13605" width="14.1640625" style="4" customWidth="1"/>
    <col min="13606" max="13606" width="5.6640625" style="4" customWidth="1"/>
    <col min="13607" max="13607" width="4.83203125" style="4" customWidth="1"/>
    <col min="13608" max="13608" width="5.6640625" style="4" customWidth="1"/>
    <col min="13609" max="13609" width="5" style="4" customWidth="1"/>
    <col min="13610" max="13615" width="3" style="4" customWidth="1"/>
    <col min="13616" max="13616" width="14.33203125" style="4" customWidth="1"/>
    <col min="13617" max="13617" width="5.83203125" style="4" customWidth="1"/>
    <col min="13618" max="13824" width="3" style="4" customWidth="1"/>
    <col min="13825" max="13839" width="2.83203125" style="4" customWidth="1"/>
    <col min="13840" max="13840" width="3.1640625" style="4" customWidth="1"/>
    <col min="13841" max="13846" width="2.83203125" style="4" customWidth="1"/>
    <col min="13847" max="13847" width="3.5" style="4" customWidth="1"/>
    <col min="13848" max="13858" width="2.83203125" style="4" customWidth="1"/>
    <col min="13859" max="13859" width="2.5" style="4" customWidth="1"/>
    <col min="13860" max="13860" width="0.1640625" style="4" customWidth="1"/>
    <col min="13861" max="13861" width="14.1640625" style="4" customWidth="1"/>
    <col min="13862" max="13862" width="5.6640625" style="4" customWidth="1"/>
    <col min="13863" max="13863" width="4.83203125" style="4" customWidth="1"/>
    <col min="13864" max="13864" width="5.6640625" style="4" customWidth="1"/>
    <col min="13865" max="13865" width="5" style="4" customWidth="1"/>
    <col min="13866" max="13871" width="3" style="4" customWidth="1"/>
    <col min="13872" max="13872" width="14.33203125" style="4" customWidth="1"/>
    <col min="13873" max="13873" width="5.83203125" style="4" customWidth="1"/>
    <col min="13874" max="14080" width="3" style="4" customWidth="1"/>
    <col min="14081" max="14095" width="2.83203125" style="4" customWidth="1"/>
    <col min="14096" max="14096" width="3.1640625" style="4" customWidth="1"/>
    <col min="14097" max="14102" width="2.83203125" style="4" customWidth="1"/>
    <col min="14103" max="14103" width="3.5" style="4" customWidth="1"/>
    <col min="14104" max="14114" width="2.83203125" style="4" customWidth="1"/>
    <col min="14115" max="14115" width="2.5" style="4" customWidth="1"/>
    <col min="14116" max="14116" width="0.1640625" style="4" customWidth="1"/>
    <col min="14117" max="14117" width="14.1640625" style="4" customWidth="1"/>
    <col min="14118" max="14118" width="5.6640625" style="4" customWidth="1"/>
    <col min="14119" max="14119" width="4.83203125" style="4" customWidth="1"/>
    <col min="14120" max="14120" width="5.6640625" style="4" customWidth="1"/>
    <col min="14121" max="14121" width="5" style="4" customWidth="1"/>
    <col min="14122" max="14127" width="3" style="4" customWidth="1"/>
    <col min="14128" max="14128" width="14.33203125" style="4" customWidth="1"/>
    <col min="14129" max="14129" width="5.83203125" style="4" customWidth="1"/>
    <col min="14130" max="14336" width="3" style="4" customWidth="1"/>
    <col min="14337" max="14351" width="2.83203125" style="4" customWidth="1"/>
    <col min="14352" max="14352" width="3.1640625" style="4" customWidth="1"/>
    <col min="14353" max="14358" width="2.83203125" style="4" customWidth="1"/>
    <col min="14359" max="14359" width="3.5" style="4" customWidth="1"/>
    <col min="14360" max="14370" width="2.83203125" style="4" customWidth="1"/>
    <col min="14371" max="14371" width="2.5" style="4" customWidth="1"/>
    <col min="14372" max="14372" width="0.1640625" style="4" customWidth="1"/>
    <col min="14373" max="14373" width="14.1640625" style="4" customWidth="1"/>
    <col min="14374" max="14374" width="5.6640625" style="4" customWidth="1"/>
    <col min="14375" max="14375" width="4.83203125" style="4" customWidth="1"/>
    <col min="14376" max="14376" width="5.6640625" style="4" customWidth="1"/>
    <col min="14377" max="14377" width="5" style="4" customWidth="1"/>
    <col min="14378" max="14383" width="3" style="4" customWidth="1"/>
    <col min="14384" max="14384" width="14.33203125" style="4" customWidth="1"/>
    <col min="14385" max="14385" width="5.83203125" style="4" customWidth="1"/>
    <col min="14386" max="14592" width="3" style="4" customWidth="1"/>
    <col min="14593" max="14607" width="2.83203125" style="4" customWidth="1"/>
    <col min="14608" max="14608" width="3.1640625" style="4" customWidth="1"/>
    <col min="14609" max="14614" width="2.83203125" style="4" customWidth="1"/>
    <col min="14615" max="14615" width="3.5" style="4" customWidth="1"/>
    <col min="14616" max="14626" width="2.83203125" style="4" customWidth="1"/>
    <col min="14627" max="14627" width="2.5" style="4" customWidth="1"/>
    <col min="14628" max="14628" width="0.1640625" style="4" customWidth="1"/>
    <col min="14629" max="14629" width="14.1640625" style="4" customWidth="1"/>
    <col min="14630" max="14630" width="5.6640625" style="4" customWidth="1"/>
    <col min="14631" max="14631" width="4.83203125" style="4" customWidth="1"/>
    <col min="14632" max="14632" width="5.6640625" style="4" customWidth="1"/>
    <col min="14633" max="14633" width="5" style="4" customWidth="1"/>
    <col min="14634" max="14639" width="3" style="4" customWidth="1"/>
    <col min="14640" max="14640" width="14.33203125" style="4" customWidth="1"/>
    <col min="14641" max="14641" width="5.83203125" style="4" customWidth="1"/>
    <col min="14642" max="14848" width="3" style="4" customWidth="1"/>
    <col min="14849" max="14863" width="2.83203125" style="4" customWidth="1"/>
    <col min="14864" max="14864" width="3.1640625" style="4" customWidth="1"/>
    <col min="14865" max="14870" width="2.83203125" style="4" customWidth="1"/>
    <col min="14871" max="14871" width="3.5" style="4" customWidth="1"/>
    <col min="14872" max="14882" width="2.83203125" style="4" customWidth="1"/>
    <col min="14883" max="14883" width="2.5" style="4" customWidth="1"/>
    <col min="14884" max="14884" width="0.1640625" style="4" customWidth="1"/>
    <col min="14885" max="14885" width="14.1640625" style="4" customWidth="1"/>
    <col min="14886" max="14886" width="5.6640625" style="4" customWidth="1"/>
    <col min="14887" max="14887" width="4.83203125" style="4" customWidth="1"/>
    <col min="14888" max="14888" width="5.6640625" style="4" customWidth="1"/>
    <col min="14889" max="14889" width="5" style="4" customWidth="1"/>
    <col min="14890" max="14895" width="3" style="4" customWidth="1"/>
    <col min="14896" max="14896" width="14.33203125" style="4" customWidth="1"/>
    <col min="14897" max="14897" width="5.83203125" style="4" customWidth="1"/>
    <col min="14898" max="15104" width="3" style="4" customWidth="1"/>
    <col min="15105" max="15119" width="2.83203125" style="4" customWidth="1"/>
    <col min="15120" max="15120" width="3.1640625" style="4" customWidth="1"/>
    <col min="15121" max="15126" width="2.83203125" style="4" customWidth="1"/>
    <col min="15127" max="15127" width="3.5" style="4" customWidth="1"/>
    <col min="15128" max="15138" width="2.83203125" style="4" customWidth="1"/>
    <col min="15139" max="15139" width="2.5" style="4" customWidth="1"/>
    <col min="15140" max="15140" width="0.1640625" style="4" customWidth="1"/>
    <col min="15141" max="15141" width="14.1640625" style="4" customWidth="1"/>
    <col min="15142" max="15142" width="5.6640625" style="4" customWidth="1"/>
    <col min="15143" max="15143" width="4.83203125" style="4" customWidth="1"/>
    <col min="15144" max="15144" width="5.6640625" style="4" customWidth="1"/>
    <col min="15145" max="15145" width="5" style="4" customWidth="1"/>
    <col min="15146" max="15151" width="3" style="4" customWidth="1"/>
    <col min="15152" max="15152" width="14.33203125" style="4" customWidth="1"/>
    <col min="15153" max="15153" width="5.83203125" style="4" customWidth="1"/>
    <col min="15154" max="15360" width="3" style="4" customWidth="1"/>
    <col min="15361" max="15375" width="2.83203125" style="4" customWidth="1"/>
    <col min="15376" max="15376" width="3.1640625" style="4" customWidth="1"/>
    <col min="15377" max="15382" width="2.83203125" style="4" customWidth="1"/>
    <col min="15383" max="15383" width="3.5" style="4" customWidth="1"/>
    <col min="15384" max="15394" width="2.83203125" style="4" customWidth="1"/>
    <col min="15395" max="15395" width="2.5" style="4" customWidth="1"/>
    <col min="15396" max="15396" width="0.1640625" style="4" customWidth="1"/>
    <col min="15397" max="15397" width="14.1640625" style="4" customWidth="1"/>
    <col min="15398" max="15398" width="5.6640625" style="4" customWidth="1"/>
    <col min="15399" max="15399" width="4.83203125" style="4" customWidth="1"/>
    <col min="15400" max="15400" width="5.6640625" style="4" customWidth="1"/>
    <col min="15401" max="15401" width="5" style="4" customWidth="1"/>
    <col min="15402" max="15407" width="3" style="4" customWidth="1"/>
    <col min="15408" max="15408" width="14.33203125" style="4" customWidth="1"/>
    <col min="15409" max="15409" width="5.83203125" style="4" customWidth="1"/>
    <col min="15410" max="15616" width="3" style="4" customWidth="1"/>
    <col min="15617" max="15631" width="2.83203125" style="4" customWidth="1"/>
    <col min="15632" max="15632" width="3.1640625" style="4" customWidth="1"/>
    <col min="15633" max="15638" width="2.83203125" style="4" customWidth="1"/>
    <col min="15639" max="15639" width="3.5" style="4" customWidth="1"/>
    <col min="15640" max="15650" width="2.83203125" style="4" customWidth="1"/>
    <col min="15651" max="15651" width="2.5" style="4" customWidth="1"/>
    <col min="15652" max="15652" width="0.1640625" style="4" customWidth="1"/>
    <col min="15653" max="15653" width="14.1640625" style="4" customWidth="1"/>
    <col min="15654" max="15654" width="5.6640625" style="4" customWidth="1"/>
    <col min="15655" max="15655" width="4.83203125" style="4" customWidth="1"/>
    <col min="15656" max="15656" width="5.6640625" style="4" customWidth="1"/>
    <col min="15657" max="15657" width="5" style="4" customWidth="1"/>
    <col min="15658" max="15663" width="3" style="4" customWidth="1"/>
    <col min="15664" max="15664" width="14.33203125" style="4" customWidth="1"/>
    <col min="15665" max="15665" width="5.83203125" style="4" customWidth="1"/>
    <col min="15666" max="15872" width="3" style="4" customWidth="1"/>
    <col min="15873" max="15887" width="2.83203125" style="4" customWidth="1"/>
    <col min="15888" max="15888" width="3.1640625" style="4" customWidth="1"/>
    <col min="15889" max="15894" width="2.83203125" style="4" customWidth="1"/>
    <col min="15895" max="15895" width="3.5" style="4" customWidth="1"/>
    <col min="15896" max="15906" width="2.83203125" style="4" customWidth="1"/>
    <col min="15907" max="15907" width="2.5" style="4" customWidth="1"/>
    <col min="15908" max="15908" width="0.1640625" style="4" customWidth="1"/>
    <col min="15909" max="15909" width="14.1640625" style="4" customWidth="1"/>
    <col min="15910" max="15910" width="5.6640625" style="4" customWidth="1"/>
    <col min="15911" max="15911" width="4.83203125" style="4" customWidth="1"/>
    <col min="15912" max="15912" width="5.6640625" style="4" customWidth="1"/>
    <col min="15913" max="15913" width="5" style="4" customWidth="1"/>
    <col min="15914" max="15919" width="3" style="4" customWidth="1"/>
    <col min="15920" max="15920" width="14.33203125" style="4" customWidth="1"/>
    <col min="15921" max="15921" width="5.83203125" style="4" customWidth="1"/>
    <col min="15922" max="16128" width="3" style="4" customWidth="1"/>
    <col min="16129" max="16143" width="2.83203125" style="4" customWidth="1"/>
    <col min="16144" max="16144" width="3.1640625" style="4" customWidth="1"/>
    <col min="16145" max="16150" width="2.83203125" style="4" customWidth="1"/>
    <col min="16151" max="16151" width="3.5" style="4" customWidth="1"/>
    <col min="16152" max="16162" width="2.83203125" style="4" customWidth="1"/>
    <col min="16163" max="16163" width="2.5" style="4" customWidth="1"/>
    <col min="16164" max="16164" width="0.1640625" style="4" customWidth="1"/>
    <col min="16165" max="16165" width="14.1640625" style="4" customWidth="1"/>
    <col min="16166" max="16166" width="5.6640625" style="4" customWidth="1"/>
    <col min="16167" max="16167" width="4.83203125" style="4" customWidth="1"/>
    <col min="16168" max="16168" width="5.6640625" style="4" customWidth="1"/>
    <col min="16169" max="16169" width="5" style="4" customWidth="1"/>
    <col min="16170" max="16175" width="3" style="4" customWidth="1"/>
    <col min="16176" max="16176" width="14.33203125" style="4" customWidth="1"/>
    <col min="16177" max="16177" width="5.83203125" style="4" customWidth="1"/>
    <col min="16178" max="16384" width="3" style="4" customWidth="1"/>
  </cols>
  <sheetData>
    <row r="1" spans="1:58" ht="2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7">
        <v>2026</v>
      </c>
      <c r="P1" s="28"/>
      <c r="Q1" s="2" t="s">
        <v>0</v>
      </c>
      <c r="R1" s="42">
        <v>9</v>
      </c>
      <c r="S1" s="28"/>
      <c r="T1" s="2" t="s">
        <v>1</v>
      </c>
      <c r="U1" s="2"/>
      <c r="V1" s="1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 t="s">
        <v>2</v>
      </c>
      <c r="AL1" s="3"/>
      <c r="AM1" s="1"/>
      <c r="AN1" s="1"/>
      <c r="AQ1" s="2" t="s">
        <v>3</v>
      </c>
      <c r="AR1" s="3"/>
      <c r="AS1" s="1"/>
      <c r="AT1" s="1"/>
      <c r="AV1" s="2" t="s">
        <v>4</v>
      </c>
      <c r="AW1" s="3"/>
      <c r="AX1" s="5"/>
      <c r="AY1" s="5"/>
    </row>
    <row r="2" spans="1:58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6" t="s">
        <v>5</v>
      </c>
      <c r="AE2" s="49"/>
      <c r="AF2" s="44"/>
      <c r="AG2" s="67" t="s">
        <v>6</v>
      </c>
      <c r="AH2" s="44"/>
      <c r="AI2" s="1"/>
      <c r="AJ2" s="1"/>
      <c r="AK2" s="6" t="s">
        <v>7</v>
      </c>
      <c r="AL2" s="7">
        <v>0.375</v>
      </c>
      <c r="AM2" s="8">
        <v>0.41666666666666669</v>
      </c>
      <c r="AN2" s="9" t="s">
        <v>8</v>
      </c>
      <c r="AO2" s="8">
        <v>0.79166666666666663</v>
      </c>
      <c r="AQ2" s="61" t="s">
        <v>9</v>
      </c>
      <c r="AR2" s="28"/>
      <c r="AS2" s="28"/>
      <c r="AT2" s="28"/>
      <c r="AU2" s="28"/>
      <c r="AV2" s="10" t="s">
        <v>10</v>
      </c>
      <c r="AW2" s="11">
        <v>10</v>
      </c>
      <c r="AX2" s="5"/>
      <c r="AY2" s="5"/>
    </row>
    <row r="3" spans="1:58" ht="18" customHeight="1">
      <c r="A3" s="60" t="s">
        <v>11</v>
      </c>
      <c r="B3" s="55"/>
      <c r="C3" s="55"/>
      <c r="D3" s="55"/>
      <c r="E3" s="55"/>
      <c r="F3" s="55"/>
      <c r="G3" s="55"/>
      <c r="H3" s="62"/>
      <c r="I3" s="63"/>
      <c r="J3" s="63"/>
      <c r="K3" s="63"/>
      <c r="L3" s="63"/>
      <c r="M3" s="63"/>
      <c r="N3" s="63"/>
      <c r="O3" s="81" t="s">
        <v>12</v>
      </c>
      <c r="P3" s="55"/>
      <c r="Q3" s="55"/>
      <c r="R3" s="55"/>
      <c r="S3" s="55"/>
      <c r="T3" s="55"/>
      <c r="U3" s="55"/>
      <c r="V3" s="64" t="s">
        <v>13</v>
      </c>
      <c r="W3" s="63"/>
      <c r="X3" s="63"/>
      <c r="Y3" s="63"/>
      <c r="Z3" s="63"/>
      <c r="AA3" s="63"/>
      <c r="AB3" s="65"/>
      <c r="AC3" s="12"/>
      <c r="AD3" s="47"/>
      <c r="AE3" s="51"/>
      <c r="AF3" s="48"/>
      <c r="AG3" s="47"/>
      <c r="AH3" s="48"/>
      <c r="AI3" s="12"/>
      <c r="AJ3" s="1"/>
      <c r="AK3" s="10" t="s">
        <v>14</v>
      </c>
      <c r="AL3" s="7">
        <v>4.1666666666666657E-2</v>
      </c>
      <c r="AM3" s="8">
        <v>0.5</v>
      </c>
      <c r="AN3" s="9" t="s">
        <v>8</v>
      </c>
      <c r="AO3" s="8">
        <v>0.54166666666666663</v>
      </c>
      <c r="AQ3" s="61" t="s">
        <v>15</v>
      </c>
      <c r="AR3" s="28"/>
      <c r="AS3" s="28"/>
      <c r="AT3" s="28"/>
      <c r="AU3" s="28"/>
      <c r="AV3" s="10" t="s">
        <v>16</v>
      </c>
      <c r="AW3" s="11">
        <v>10</v>
      </c>
      <c r="AX3" s="5"/>
      <c r="AY3" s="5"/>
    </row>
    <row r="4" spans="1:58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0" t="s">
        <v>17</v>
      </c>
      <c r="AL4" s="7">
        <v>2.0833333333333329E-2</v>
      </c>
      <c r="AM4" s="7">
        <v>0.79166666666666663</v>
      </c>
      <c r="AN4" s="9" t="s">
        <v>8</v>
      </c>
      <c r="AO4" s="7">
        <v>0.8125</v>
      </c>
      <c r="AQ4" s="61" t="s">
        <v>18</v>
      </c>
      <c r="AR4" s="28"/>
      <c r="AS4" s="28"/>
      <c r="AT4" s="28"/>
      <c r="AU4" s="28"/>
      <c r="AV4" s="13"/>
      <c r="AW4" s="14"/>
      <c r="AX4" s="5"/>
      <c r="AY4" s="5"/>
    </row>
    <row r="5" spans="1:58" ht="18" customHeight="1">
      <c r="A5" s="54" t="s">
        <v>19</v>
      </c>
      <c r="B5" s="49"/>
      <c r="C5" s="49"/>
      <c r="D5" s="49"/>
      <c r="E5" s="49"/>
      <c r="F5" s="49"/>
      <c r="G5" s="44"/>
      <c r="H5" s="54" t="s">
        <v>20</v>
      </c>
      <c r="I5" s="49"/>
      <c r="J5" s="49"/>
      <c r="K5" s="49"/>
      <c r="L5" s="49"/>
      <c r="M5" s="49"/>
      <c r="N5" s="44"/>
      <c r="O5" s="54" t="s">
        <v>21</v>
      </c>
      <c r="P5" s="49"/>
      <c r="Q5" s="49"/>
      <c r="R5" s="49"/>
      <c r="S5" s="49"/>
      <c r="T5" s="49"/>
      <c r="U5" s="44"/>
      <c r="V5" s="54" t="s">
        <v>22</v>
      </c>
      <c r="W5" s="49"/>
      <c r="X5" s="49"/>
      <c r="Y5" s="49"/>
      <c r="Z5" s="49"/>
      <c r="AA5" s="49"/>
      <c r="AB5" s="44"/>
      <c r="AC5" s="54" t="s">
        <v>23</v>
      </c>
      <c r="AD5" s="49"/>
      <c r="AE5" s="49"/>
      <c r="AF5" s="49"/>
      <c r="AG5" s="49"/>
      <c r="AH5" s="49"/>
      <c r="AI5" s="44"/>
      <c r="AJ5" s="1"/>
      <c r="AK5" s="10" t="s">
        <v>24</v>
      </c>
      <c r="AL5" s="7">
        <v>2.0833333333333329E-2</v>
      </c>
      <c r="AM5" s="7">
        <v>0.89583333333333337</v>
      </c>
      <c r="AN5" s="9" t="s">
        <v>8</v>
      </c>
      <c r="AO5" s="8">
        <v>0.91666666666666663</v>
      </c>
      <c r="AQ5" s="61" t="s">
        <v>25</v>
      </c>
      <c r="AR5" s="28"/>
      <c r="AS5" s="28"/>
      <c r="AT5" s="28"/>
      <c r="AU5" s="28"/>
      <c r="AV5" s="15"/>
      <c r="AW5" s="15"/>
    </row>
    <row r="6" spans="1:58" ht="18" customHeight="1">
      <c r="A6" s="53">
        <f>COUNTIF($E$13:$H$43,"出勤")</f>
      </c>
      <c r="B6" s="51"/>
      <c r="C6" s="51"/>
      <c r="D6" s="51"/>
      <c r="E6" s="51"/>
      <c r="F6" s="51"/>
      <c r="G6" s="48"/>
      <c r="H6" s="53">
        <f>COUNTIF($E$13:$H$43,"欠勤")</f>
      </c>
      <c r="I6" s="51"/>
      <c r="J6" s="51"/>
      <c r="K6" s="51"/>
      <c r="L6" s="51"/>
      <c r="M6" s="51"/>
      <c r="N6" s="48"/>
      <c r="O6" s="53">
        <f>COUNTIF($E$13:$H$43,"有給休暇")</f>
      </c>
      <c r="P6" s="51"/>
      <c r="Q6" s="51"/>
      <c r="R6" s="51"/>
      <c r="S6" s="51"/>
      <c r="T6" s="51"/>
      <c r="U6" s="48"/>
      <c r="V6" s="53">
        <f>COUNTIF($E$13:$H$43,"代休")</f>
      </c>
      <c r="W6" s="51"/>
      <c r="X6" s="51"/>
      <c r="Y6" s="51"/>
      <c r="Z6" s="51"/>
      <c r="AA6" s="51"/>
      <c r="AB6" s="48"/>
      <c r="AC6" s="53">
        <f>COUNTIF($E$13:$H$43,"休日出勤")</f>
      </c>
      <c r="AD6" s="51"/>
      <c r="AE6" s="51"/>
      <c r="AF6" s="51"/>
      <c r="AG6" s="51"/>
      <c r="AH6" s="51"/>
      <c r="AI6" s="48"/>
      <c r="AJ6" s="1"/>
      <c r="AK6" s="6" t="s">
        <v>26</v>
      </c>
      <c r="AL6" s="7">
        <v>0.16666666666666671</v>
      </c>
      <c r="AM6" s="8">
        <v>0.25</v>
      </c>
      <c r="AN6" s="9" t="s">
        <v>8</v>
      </c>
      <c r="AO6" s="8">
        <v>0.41666666666666669</v>
      </c>
      <c r="AQ6" s="61" t="s">
        <v>27</v>
      </c>
      <c r="AR6" s="28"/>
      <c r="AS6" s="28"/>
      <c r="AT6" s="28"/>
      <c r="AU6" s="28"/>
      <c r="AV6" s="15"/>
      <c r="AW6" s="15"/>
    </row>
    <row r="7" spans="1:58" ht="18" customHeight="1">
      <c r="A7" s="54" t="s">
        <v>28</v>
      </c>
      <c r="B7" s="49"/>
      <c r="C7" s="49"/>
      <c r="D7" s="49"/>
      <c r="E7" s="49"/>
      <c r="F7" s="49"/>
      <c r="G7" s="44"/>
      <c r="H7" s="54" t="s">
        <v>29</v>
      </c>
      <c r="I7" s="49"/>
      <c r="J7" s="49"/>
      <c r="K7" s="49"/>
      <c r="L7" s="49"/>
      <c r="M7" s="49"/>
      <c r="N7" s="44"/>
      <c r="O7" s="54" t="s">
        <v>30</v>
      </c>
      <c r="P7" s="49"/>
      <c r="Q7" s="49"/>
      <c r="R7" s="49"/>
      <c r="S7" s="49"/>
      <c r="T7" s="49"/>
      <c r="U7" s="44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"/>
      <c r="AK7" s="6" t="s">
        <v>31</v>
      </c>
      <c r="AL7" s="7">
        <v>8.3333333333333329E-2</v>
      </c>
      <c r="AM7" s="8">
        <v>0.8125</v>
      </c>
      <c r="AN7" s="9" t="s">
        <v>8</v>
      </c>
      <c r="AO7" s="7">
        <v>0.89583333333333337</v>
      </c>
      <c r="AQ7" s="27" t="s">
        <v>49</v>
      </c>
      <c r="AR7" s="28"/>
      <c r="AS7" s="28"/>
      <c r="AT7" s="28"/>
      <c r="AU7" s="28"/>
    </row>
    <row r="8" spans="1:58" ht="18" customHeight="1">
      <c r="A8" s="59">
        <f>SUM(AD13:AF43)</f>
      </c>
      <c r="B8" s="51"/>
      <c r="C8" s="51"/>
      <c r="D8" s="51"/>
      <c r="E8" s="51"/>
      <c r="F8" s="51"/>
      <c r="G8" s="48"/>
      <c r="H8" s="59">
        <f>SUM(X13:Z43)</f>
      </c>
      <c r="I8" s="51"/>
      <c r="J8" s="51"/>
      <c r="K8" s="51"/>
      <c r="L8" s="51"/>
      <c r="M8" s="51"/>
      <c r="N8" s="48"/>
      <c r="O8" s="59">
        <f>SUM(AA13:AC43)</f>
      </c>
      <c r="P8" s="51"/>
      <c r="Q8" s="51"/>
      <c r="R8" s="51"/>
      <c r="S8" s="51"/>
      <c r="T8" s="51"/>
      <c r="U8" s="48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1"/>
      <c r="AK8" s="6" t="s">
        <v>32</v>
      </c>
      <c r="AL8" s="7">
        <v>8.3333333333333329E-2</v>
      </c>
      <c r="AM8" s="8">
        <v>0.91666666666666663</v>
      </c>
      <c r="AN8" s="9" t="s">
        <v>8</v>
      </c>
      <c r="AO8" s="8">
        <v>1</v>
      </c>
      <c r="AP8" s="1"/>
      <c r="AQ8" s="1"/>
      <c r="AR8" s="1"/>
      <c r="AS8" s="1"/>
      <c r="AT8" s="1"/>
      <c r="AU8" s="1"/>
      <c r="BB8" s="27"/>
      <c r="BC8" s="28"/>
      <c r="BD8" s="28"/>
      <c r="BE8" s="28"/>
      <c r="BF8" s="28"/>
    </row>
    <row r="9" spans="1:58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 t="s">
        <v>33</v>
      </c>
      <c r="AL9" s="7">
        <v>0.25</v>
      </c>
      <c r="AM9" s="8">
        <v>1</v>
      </c>
      <c r="AN9" s="9" t="s">
        <v>8</v>
      </c>
      <c r="AO9" s="8">
        <v>0.25</v>
      </c>
      <c r="AP9" s="1"/>
      <c r="AQ9" s="1"/>
      <c r="AR9" s="1"/>
      <c r="AS9" s="1"/>
      <c r="AT9" s="1"/>
      <c r="AU9" s="1"/>
    </row>
    <row r="10" spans="1:58" ht="18" customHeight="1">
      <c r="A10" s="43" t="s">
        <v>34</v>
      </c>
      <c r="B10" s="44"/>
      <c r="C10" s="43" t="s">
        <v>35</v>
      </c>
      <c r="D10" s="44"/>
      <c r="E10" s="43" t="s">
        <v>3</v>
      </c>
      <c r="F10" s="49"/>
      <c r="G10" s="49"/>
      <c r="H10" s="44"/>
      <c r="I10" s="43" t="s">
        <v>36</v>
      </c>
      <c r="J10" s="55"/>
      <c r="K10" s="55"/>
      <c r="L10" s="55"/>
      <c r="M10" s="55"/>
      <c r="N10" s="56"/>
      <c r="O10" s="43" t="s">
        <v>4</v>
      </c>
      <c r="P10" s="55"/>
      <c r="Q10" s="55"/>
      <c r="R10" s="55"/>
      <c r="S10" s="55"/>
      <c r="T10" s="56"/>
      <c r="U10" s="72" t="s">
        <v>7</v>
      </c>
      <c r="V10" s="55"/>
      <c r="W10" s="55"/>
      <c r="X10" s="55"/>
      <c r="Y10" s="55"/>
      <c r="Z10" s="55"/>
      <c r="AA10" s="55"/>
      <c r="AB10" s="55"/>
      <c r="AC10" s="56"/>
      <c r="AD10" s="43" t="s">
        <v>37</v>
      </c>
      <c r="AE10" s="49"/>
      <c r="AF10" s="49"/>
      <c r="AG10" s="49"/>
      <c r="AH10" s="49"/>
      <c r="AI10" s="44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58" ht="18" customHeight="1">
      <c r="A11" s="45"/>
      <c r="B11" s="46"/>
      <c r="C11" s="45"/>
      <c r="D11" s="46"/>
      <c r="E11" s="45"/>
      <c r="F11" s="50"/>
      <c r="G11" s="50"/>
      <c r="H11" s="46"/>
      <c r="I11" s="43" t="s">
        <v>38</v>
      </c>
      <c r="J11" s="49"/>
      <c r="K11" s="44"/>
      <c r="L11" s="43" t="s">
        <v>39</v>
      </c>
      <c r="M11" s="49"/>
      <c r="N11" s="44"/>
      <c r="O11" s="43" t="s">
        <v>40</v>
      </c>
      <c r="P11" s="49"/>
      <c r="Q11" s="44"/>
      <c r="R11" s="43" t="s">
        <v>41</v>
      </c>
      <c r="S11" s="49"/>
      <c r="T11" s="44"/>
      <c r="U11" s="43" t="s">
        <v>42</v>
      </c>
      <c r="V11" s="49"/>
      <c r="W11" s="44"/>
      <c r="X11" s="66" t="s">
        <v>43</v>
      </c>
      <c r="Y11" s="49"/>
      <c r="Z11" s="44"/>
      <c r="AA11" s="66" t="s">
        <v>44</v>
      </c>
      <c r="AB11" s="49"/>
      <c r="AC11" s="44"/>
      <c r="AD11" s="45"/>
      <c r="AE11" s="50"/>
      <c r="AF11" s="50"/>
      <c r="AG11" s="50"/>
      <c r="AH11" s="50"/>
      <c r="AI11" s="46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58" ht="18" customHeight="1">
      <c r="A12" s="47"/>
      <c r="B12" s="48"/>
      <c r="C12" s="47"/>
      <c r="D12" s="48"/>
      <c r="E12" s="47"/>
      <c r="F12" s="51"/>
      <c r="G12" s="51"/>
      <c r="H12" s="48"/>
      <c r="I12" s="47"/>
      <c r="J12" s="51"/>
      <c r="K12" s="48"/>
      <c r="L12" s="47"/>
      <c r="M12" s="51"/>
      <c r="N12" s="48"/>
      <c r="O12" s="47"/>
      <c r="P12" s="51"/>
      <c r="Q12" s="48"/>
      <c r="R12" s="47"/>
      <c r="S12" s="51"/>
      <c r="T12" s="48"/>
      <c r="U12" s="47"/>
      <c r="V12" s="51"/>
      <c r="W12" s="48"/>
      <c r="X12" s="52" t="s">
        <v>45</v>
      </c>
      <c r="Y12" s="51"/>
      <c r="Z12" s="48"/>
      <c r="AA12" s="52" t="s">
        <v>46</v>
      </c>
      <c r="AB12" s="51"/>
      <c r="AC12" s="48"/>
      <c r="AD12" s="47"/>
      <c r="AE12" s="51"/>
      <c r="AF12" s="51"/>
      <c r="AG12" s="51"/>
      <c r="AH12" s="51"/>
      <c r="AI12" s="48"/>
      <c r="AJ12" s="1"/>
      <c r="AK12" s="6" t="s">
        <v>47</v>
      </c>
      <c r="AL12" s="17"/>
      <c r="AM12" s="5"/>
      <c r="AN12" s="5"/>
    </row>
    <row r="13" spans="1:58" ht="18" customHeight="1">
      <c r="A13" s="77">
        <f>DATEVALUE(O1&amp;"/"&amp;R1&amp;"/1")</f>
      </c>
      <c r="B13" s="78"/>
      <c r="C13" s="80">
        <f t="shared" ref="C13:C43" si="0">A13</f>
      </c>
      <c r="D13" s="78"/>
      <c r="E13" s="29" t="s">
        <v>9</v>
      </c>
      <c r="F13" s="30"/>
      <c r="G13" s="30"/>
      <c r="H13" s="31"/>
      <c r="I13" s="39">
        <v>0.3958333333333333</v>
      </c>
      <c r="J13" s="30"/>
      <c r="K13" s="31"/>
      <c r="L13" s="39">
        <v>0.7708333333333334</v>
      </c>
      <c r="M13" s="30"/>
      <c r="N13" s="31"/>
      <c r="O13" s="33">
        <f t="shared" ref="O13:O43" si="1">IF(OR(I13="",L13=""),"",I13)</f>
      </c>
      <c r="P13" s="25"/>
      <c r="Q13" s="26"/>
      <c r="R13" s="33">
        <f t="shared" ref="R13:R43" si="2">IF(OR(I13="",L13=""),"",L13)</f>
      </c>
      <c r="S13" s="25"/>
      <c r="T13" s="26"/>
      <c r="U13" s="37">
        <f t="shared" ref="U13:U43" si="3">IF(OR(I13="",L13=""),"",IF(AND($AM$2&gt;=O13,R13&gt;=$AM$2,R13&lt;=$AM$3),R13-$AM$2,IF(AND(O13&lt;=$AM$2,R13&gt;=$AM$3),$AM$3-$AM$2,IF(AND(O13&gt;=$AM$2,R13&lt;=$AM$3),R13-O13,IF(AND(O13&gt;=$AM$2,O13&lt;=$AM$3,R13&gt;=$AM$3),$AM$3-O13,0))))+IF(AND($AO$3&gt;=O13,R13&gt;=$AO$3,R13&lt;=$AO$2),R13-$AO$3,IF(AND(O13&lt;=$AO$3,R13&gt;=$AO$2),$AO$2-$AO$3,IF(AND(O13&gt;=$AO$3,R13&lt;=$AO$2),R13-O13,IF(AND(O13&gt;=$AO$3,O13&lt;=$AO$2,R13&gt;=$AO$2),$AO$2-O13,0)))))</f>
      </c>
      <c r="V13" s="25"/>
      <c r="W13" s="26"/>
      <c r="X13" s="37">
        <f t="shared" ref="X13:X43" si="4">IF(OR(I13="",L13=""),"",IF(O13&lt;=$AO$6,IF(O13&lt;=$AM$6,IF(R13&lt;=$AM$2,IF(R13-$AM$6&lt;0,0,R13-$AM$6),$AO$6-$AM$6),IF(R13&lt;=$AM$2,R13-O13,$AO$6-O13)),0)+IF(R13&gt;=$AM$7,IF(R13&gt;=$AO$7,$AO$7-$AM$7,R13-$AM$7),0)+IF(R13&gt;=$AM$8,IF(R13&gt;=$AO$8,$AO$8-$AM$8,R13-$AM$8),0))</f>
      </c>
      <c r="Y13" s="25"/>
      <c r="Z13" s="26"/>
      <c r="AA13" s="37">
        <f t="shared" ref="AA13:AA43" si="5">IF(OR(I13="",L13=""),"",IF(AND(AND(O13&gt;=0,O13&lt;=$AO$9),AND(R13&gt;=0,R13&lt;=$AO$9)),R13-O13,(IF(O13&lt;$AO$9,$AO$9-O13,0)+IF(R13&gt;$AM$9,R13-$AM$9,0))))</f>
      </c>
      <c r="AB13" s="25"/>
      <c r="AC13" s="26"/>
      <c r="AD13" s="79">
        <f t="shared" ref="AD13:AD43" si="6">IF(OR(I13="",L13=""),"",U13+X13+AA13)</f>
      </c>
      <c r="AE13" s="49"/>
      <c r="AF13" s="49"/>
      <c r="AG13" s="49"/>
      <c r="AH13" s="49"/>
      <c r="AI13" s="44"/>
      <c r="AK13" s="18"/>
      <c r="AL13" s="1"/>
      <c r="AM13" s="1"/>
      <c r="AN13" s="1"/>
      <c r="AO13" s="1"/>
      <c r="AP13" s="1"/>
    </row>
    <row r="14" spans="1:58" ht="18" customHeight="1">
      <c r="A14" s="38">
        <f t="shared" ref="A14:A40" si="7">A13+1</f>
      </c>
      <c r="B14" s="26"/>
      <c r="C14" s="40">
        <f t="shared" si="0"/>
      </c>
      <c r="D14" s="26"/>
      <c r="E14" s="29" t="s">
        <v>48</v>
      </c>
      <c r="F14" s="30"/>
      <c r="G14" s="30"/>
      <c r="H14" s="31"/>
      <c r="I14" s="39">
        <v>0.3958333333333333</v>
      </c>
      <c r="J14" s="30"/>
      <c r="K14" s="31"/>
      <c r="L14" s="39">
        <v>0.7708333333333334</v>
      </c>
      <c r="M14" s="30"/>
      <c r="N14" s="31"/>
      <c r="O14" s="33">
        <f t="shared" si="1"/>
      </c>
      <c r="P14" s="25"/>
      <c r="Q14" s="26"/>
      <c r="R14" s="33">
        <f t="shared" si="2"/>
      </c>
      <c r="S14" s="25"/>
      <c r="T14" s="26"/>
      <c r="U14" s="37">
        <f t="shared" si="3"/>
      </c>
      <c r="V14" s="25"/>
      <c r="W14" s="26"/>
      <c r="X14" s="37">
        <f t="shared" si="4"/>
      </c>
      <c r="Y14" s="25"/>
      <c r="Z14" s="26"/>
      <c r="AA14" s="37">
        <f t="shared" si="5"/>
      </c>
      <c r="AB14" s="25"/>
      <c r="AC14" s="26"/>
      <c r="AD14" s="24">
        <f t="shared" si="6"/>
      </c>
      <c r="AE14" s="25"/>
      <c r="AF14" s="25"/>
      <c r="AG14" s="25"/>
      <c r="AH14" s="25"/>
      <c r="AI14" s="26"/>
      <c r="AK14" s="18"/>
      <c r="AL14" s="1"/>
      <c r="AM14" s="1"/>
      <c r="AN14" s="1"/>
      <c r="AO14" s="1"/>
      <c r="AP14" s="1"/>
    </row>
    <row r="15" spans="1:58" ht="18" customHeight="1">
      <c r="A15" s="41">
        <f t="shared" si="7"/>
      </c>
      <c r="B15" s="26"/>
      <c r="C15" s="40">
        <f t="shared" si="0"/>
      </c>
      <c r="D15" s="26"/>
      <c r="E15" s="29" t="s">
        <v>9</v>
      </c>
      <c r="F15" s="30"/>
      <c r="G15" s="30"/>
      <c r="H15" s="31"/>
      <c r="I15" s="39">
        <v>0.3958333333333333</v>
      </c>
      <c r="J15" s="30"/>
      <c r="K15" s="31"/>
      <c r="L15" s="39">
        <v>0.7708333333333334</v>
      </c>
      <c r="M15" s="30"/>
      <c r="N15" s="31"/>
      <c r="O15" s="33">
        <f t="shared" si="1"/>
      </c>
      <c r="P15" s="25"/>
      <c r="Q15" s="26"/>
      <c r="R15" s="33">
        <f t="shared" si="2"/>
      </c>
      <c r="S15" s="25"/>
      <c r="T15" s="26"/>
      <c r="U15" s="37">
        <f t="shared" si="3"/>
      </c>
      <c r="V15" s="25"/>
      <c r="W15" s="26"/>
      <c r="X15" s="37">
        <f t="shared" si="4"/>
      </c>
      <c r="Y15" s="25"/>
      <c r="Z15" s="26"/>
      <c r="AA15" s="37">
        <f t="shared" si="5"/>
      </c>
      <c r="AB15" s="25"/>
      <c r="AC15" s="26"/>
      <c r="AD15" s="24">
        <f t="shared" si="6"/>
      </c>
      <c r="AE15" s="25"/>
      <c r="AF15" s="25"/>
      <c r="AG15" s="25"/>
      <c r="AH15" s="25"/>
      <c r="AI15" s="26"/>
      <c r="AK15" s="18"/>
      <c r="AL15" s="1"/>
      <c r="AM15" s="1"/>
      <c r="AN15" s="1"/>
      <c r="AO15" s="1"/>
      <c r="AP15" s="1"/>
    </row>
    <row r="16" spans="1:58" ht="18" customHeight="1">
      <c r="A16" s="38">
        <f t="shared" si="7"/>
      </c>
      <c r="B16" s="26"/>
      <c r="C16" s="40">
        <f t="shared" si="0"/>
      </c>
      <c r="D16" s="26"/>
      <c r="E16" s="29" t="s">
        <v>18</v>
      </c>
      <c r="F16" s="30"/>
      <c r="G16" s="30"/>
      <c r="H16" s="31"/>
      <c r="I16" s="39"/>
      <c r="J16" s="30"/>
      <c r="K16" s="31"/>
      <c r="L16" s="39"/>
      <c r="M16" s="30"/>
      <c r="N16" s="31"/>
      <c r="O16" s="33">
        <f t="shared" si="1"/>
      </c>
      <c r="P16" s="25"/>
      <c r="Q16" s="26"/>
      <c r="R16" s="33">
        <f t="shared" si="2"/>
      </c>
      <c r="S16" s="25"/>
      <c r="T16" s="26"/>
      <c r="U16" s="37">
        <f t="shared" si="3"/>
      </c>
      <c r="V16" s="25"/>
      <c r="W16" s="26"/>
      <c r="X16" s="37">
        <f t="shared" si="4"/>
      </c>
      <c r="Y16" s="25"/>
      <c r="Z16" s="26"/>
      <c r="AA16" s="37">
        <f t="shared" si="5"/>
      </c>
      <c r="AB16" s="25"/>
      <c r="AC16" s="26"/>
      <c r="AD16" s="24">
        <f t="shared" si="6"/>
      </c>
      <c r="AE16" s="25"/>
      <c r="AF16" s="25"/>
      <c r="AG16" s="25"/>
      <c r="AH16" s="25"/>
      <c r="AI16" s="26"/>
      <c r="AK16" s="18"/>
      <c r="AL16" s="1"/>
      <c r="AM16" s="1"/>
      <c r="AN16" s="1"/>
      <c r="AO16" s="1"/>
      <c r="AP16" s="1"/>
    </row>
    <row r="17" spans="1:42" ht="18" customHeight="1">
      <c r="A17" s="38">
        <f t="shared" si="7"/>
      </c>
      <c r="B17" s="26"/>
      <c r="C17" s="40">
        <f t="shared" si="0"/>
      </c>
      <c r="D17" s="26"/>
      <c r="E17" s="29"/>
      <c r="F17" s="30"/>
      <c r="G17" s="30"/>
      <c r="H17" s="31"/>
      <c r="I17" s="39"/>
      <c r="J17" s="30"/>
      <c r="K17" s="31"/>
      <c r="L17" s="39"/>
      <c r="M17" s="30"/>
      <c r="N17" s="31"/>
      <c r="O17" s="33" t="str">
        <f t="shared" si="1"/>
      </c>
      <c r="P17" s="25"/>
      <c r="Q17" s="26"/>
      <c r="R17" s="33" t="str">
        <f t="shared" si="2"/>
      </c>
      <c r="S17" s="25"/>
      <c r="T17" s="26"/>
      <c r="U17" s="37" t="str">
        <f t="shared" si="3"/>
      </c>
      <c r="V17" s="25"/>
      <c r="W17" s="26"/>
      <c r="X17" s="37" t="str">
        <f t="shared" si="4"/>
      </c>
      <c r="Y17" s="25"/>
      <c r="Z17" s="26"/>
      <c r="AA17" s="37" t="str">
        <f t="shared" si="5"/>
      </c>
      <c r="AB17" s="25"/>
      <c r="AC17" s="26"/>
      <c r="AD17" s="24" t="str">
        <f t="shared" si="6"/>
      </c>
      <c r="AE17" s="25"/>
      <c r="AF17" s="25"/>
      <c r="AG17" s="25"/>
      <c r="AH17" s="25"/>
      <c r="AI17" s="26"/>
      <c r="AK17" s="18"/>
      <c r="AL17" s="1"/>
      <c r="AM17" s="1"/>
      <c r="AN17" s="1"/>
      <c r="AO17" s="1"/>
      <c r="AP17" s="1"/>
    </row>
    <row r="18" spans="1:42" ht="18" customHeight="1">
      <c r="A18" s="38">
        <f t="shared" si="7"/>
      </c>
      <c r="B18" s="26"/>
      <c r="C18" s="40">
        <f t="shared" si="0"/>
      </c>
      <c r="D18" s="26"/>
      <c r="E18" s="29"/>
      <c r="F18" s="30"/>
      <c r="G18" s="30"/>
      <c r="H18" s="31"/>
      <c r="I18" s="39"/>
      <c r="J18" s="30"/>
      <c r="K18" s="31"/>
      <c r="L18" s="39"/>
      <c r="M18" s="30"/>
      <c r="N18" s="31"/>
      <c r="O18" s="33" t="str">
        <f t="shared" si="1"/>
      </c>
      <c r="P18" s="25"/>
      <c r="Q18" s="26"/>
      <c r="R18" s="33" t="str">
        <f t="shared" si="2"/>
      </c>
      <c r="S18" s="25"/>
      <c r="T18" s="26"/>
      <c r="U18" s="37" t="str">
        <f t="shared" si="3"/>
      </c>
      <c r="V18" s="25"/>
      <c r="W18" s="26"/>
      <c r="X18" s="37" t="str">
        <f t="shared" si="4"/>
      </c>
      <c r="Y18" s="25"/>
      <c r="Z18" s="26"/>
      <c r="AA18" s="37" t="str">
        <f t="shared" si="5"/>
      </c>
      <c r="AB18" s="25"/>
      <c r="AC18" s="26"/>
      <c r="AD18" s="24" t="str">
        <f t="shared" si="6"/>
      </c>
      <c r="AE18" s="25"/>
      <c r="AF18" s="25"/>
      <c r="AG18" s="25"/>
      <c r="AH18" s="25"/>
      <c r="AI18" s="26"/>
      <c r="AK18" s="18"/>
      <c r="AL18" s="1"/>
      <c r="AM18" s="1"/>
      <c r="AN18" s="1"/>
      <c r="AO18" s="1"/>
      <c r="AP18" s="1"/>
    </row>
    <row r="19" spans="1:42" ht="18" customHeight="1">
      <c r="A19" s="38">
        <f t="shared" si="7"/>
      </c>
      <c r="B19" s="26"/>
      <c r="C19" s="40">
        <f t="shared" si="0"/>
      </c>
      <c r="D19" s="26"/>
      <c r="E19" s="29"/>
      <c r="F19" s="30"/>
      <c r="G19" s="30"/>
      <c r="H19" s="31"/>
      <c r="I19" s="39"/>
      <c r="J19" s="30"/>
      <c r="K19" s="31"/>
      <c r="L19" s="39"/>
      <c r="M19" s="30"/>
      <c r="N19" s="31"/>
      <c r="O19" s="33">
        <f t="shared" si="1"/>
      </c>
      <c r="P19" s="25"/>
      <c r="Q19" s="26"/>
      <c r="R19" s="33">
        <f t="shared" si="2"/>
      </c>
      <c r="S19" s="25"/>
      <c r="T19" s="26"/>
      <c r="U19" s="37">
        <f t="shared" si="3"/>
      </c>
      <c r="V19" s="25"/>
      <c r="W19" s="26"/>
      <c r="X19" s="37">
        <f t="shared" si="4"/>
      </c>
      <c r="Y19" s="25"/>
      <c r="Z19" s="26"/>
      <c r="AA19" s="37">
        <f t="shared" si="5"/>
      </c>
      <c r="AB19" s="25"/>
      <c r="AC19" s="26"/>
      <c r="AD19" s="24">
        <f t="shared" si="6"/>
      </c>
      <c r="AE19" s="25"/>
      <c r="AF19" s="25"/>
      <c r="AG19" s="25"/>
      <c r="AH19" s="25"/>
      <c r="AI19" s="26"/>
      <c r="AK19" s="18"/>
      <c r="AL19" s="1"/>
      <c r="AM19" s="1"/>
      <c r="AN19" s="1"/>
      <c r="AO19" s="1"/>
      <c r="AP19" s="1"/>
    </row>
    <row r="20" spans="1:42" ht="18" customHeight="1">
      <c r="A20" s="38">
        <f t="shared" si="7"/>
      </c>
      <c r="B20" s="26"/>
      <c r="C20" s="40">
        <f t="shared" si="0"/>
      </c>
      <c r="D20" s="26"/>
      <c r="E20" s="29"/>
      <c r="F20" s="30"/>
      <c r="G20" s="30"/>
      <c r="H20" s="31"/>
      <c r="I20" s="39"/>
      <c r="J20" s="30"/>
      <c r="K20" s="31"/>
      <c r="L20" s="39"/>
      <c r="M20" s="30"/>
      <c r="N20" s="31"/>
      <c r="O20" s="33">
        <f t="shared" si="1"/>
      </c>
      <c r="P20" s="25"/>
      <c r="Q20" s="26"/>
      <c r="R20" s="33">
        <f t="shared" si="2"/>
      </c>
      <c r="S20" s="25"/>
      <c r="T20" s="26"/>
      <c r="U20" s="37">
        <f t="shared" si="3"/>
      </c>
      <c r="V20" s="25"/>
      <c r="W20" s="26"/>
      <c r="X20" s="37">
        <f t="shared" si="4"/>
      </c>
      <c r="Y20" s="25"/>
      <c r="Z20" s="26"/>
      <c r="AA20" s="37">
        <f t="shared" si="5"/>
      </c>
      <c r="AB20" s="25"/>
      <c r="AC20" s="26"/>
      <c r="AD20" s="24">
        <f t="shared" si="6"/>
      </c>
      <c r="AE20" s="25"/>
      <c r="AF20" s="25"/>
      <c r="AG20" s="25"/>
      <c r="AH20" s="25"/>
      <c r="AI20" s="26"/>
      <c r="AK20" s="18"/>
      <c r="AL20" s="1"/>
      <c r="AM20" s="1"/>
      <c r="AN20" s="1"/>
      <c r="AO20" s="1"/>
      <c r="AP20" s="1"/>
    </row>
    <row r="21" spans="1:42" ht="18" customHeight="1">
      <c r="A21" s="38">
        <f t="shared" si="7"/>
      </c>
      <c r="B21" s="26"/>
      <c r="C21" s="40">
        <f t="shared" si="0"/>
      </c>
      <c r="D21" s="26"/>
      <c r="E21" s="29"/>
      <c r="F21" s="30"/>
      <c r="G21" s="30"/>
      <c r="H21" s="31"/>
      <c r="I21" s="39"/>
      <c r="J21" s="30"/>
      <c r="K21" s="31"/>
      <c r="L21" s="39"/>
      <c r="M21" s="30"/>
      <c r="N21" s="31"/>
      <c r="O21" s="33">
        <f t="shared" si="1"/>
      </c>
      <c r="P21" s="25"/>
      <c r="Q21" s="26"/>
      <c r="R21" s="33">
        <f t="shared" si="2"/>
      </c>
      <c r="S21" s="25"/>
      <c r="T21" s="26"/>
      <c r="U21" s="37">
        <f t="shared" si="3"/>
      </c>
      <c r="V21" s="25"/>
      <c r="W21" s="26"/>
      <c r="X21" s="37">
        <f t="shared" si="4"/>
      </c>
      <c r="Y21" s="25"/>
      <c r="Z21" s="26"/>
      <c r="AA21" s="37">
        <f t="shared" si="5"/>
      </c>
      <c r="AB21" s="25"/>
      <c r="AC21" s="26"/>
      <c r="AD21" s="24">
        <f t="shared" si="6"/>
      </c>
      <c r="AE21" s="25"/>
      <c r="AF21" s="25"/>
      <c r="AG21" s="25"/>
      <c r="AH21" s="25"/>
      <c r="AI21" s="26"/>
      <c r="AK21" s="18"/>
      <c r="AL21" s="3"/>
      <c r="AM21" s="1"/>
      <c r="AN21" s="1"/>
    </row>
    <row r="22" spans="1:42" ht="18" customHeight="1">
      <c r="A22" s="38">
        <f t="shared" si="7"/>
      </c>
      <c r="B22" s="26"/>
      <c r="C22" s="40">
        <f t="shared" si="0"/>
      </c>
      <c r="D22" s="26"/>
      <c r="E22" s="29"/>
      <c r="F22" s="30"/>
      <c r="G22" s="30"/>
      <c r="H22" s="31"/>
      <c r="I22" s="39"/>
      <c r="J22" s="30"/>
      <c r="K22" s="31"/>
      <c r="L22" s="39"/>
      <c r="M22" s="30"/>
      <c r="N22" s="31"/>
      <c r="O22" s="33">
        <f t="shared" si="1"/>
      </c>
      <c r="P22" s="25"/>
      <c r="Q22" s="26"/>
      <c r="R22" s="33">
        <f t="shared" si="2"/>
      </c>
      <c r="S22" s="25"/>
      <c r="T22" s="26"/>
      <c r="U22" s="37">
        <f t="shared" si="3"/>
      </c>
      <c r="V22" s="25"/>
      <c r="W22" s="26"/>
      <c r="X22" s="37">
        <f t="shared" si="4"/>
      </c>
      <c r="Y22" s="25"/>
      <c r="Z22" s="26"/>
      <c r="AA22" s="37">
        <f t="shared" si="5"/>
      </c>
      <c r="AB22" s="25"/>
      <c r="AC22" s="26"/>
      <c r="AD22" s="24">
        <f t="shared" si="6"/>
      </c>
      <c r="AE22" s="25"/>
      <c r="AF22" s="25"/>
      <c r="AG22" s="25"/>
      <c r="AH22" s="25"/>
      <c r="AI22" s="26"/>
      <c r="AK22" s="18"/>
      <c r="AL22" s="3"/>
      <c r="AM22" s="1"/>
      <c r="AN22" s="1"/>
    </row>
    <row r="23" spans="1:42" ht="18" customHeight="1">
      <c r="A23" s="38">
        <f t="shared" si="7"/>
      </c>
      <c r="B23" s="26"/>
      <c r="C23" s="40">
        <f t="shared" si="0"/>
      </c>
      <c r="D23" s="26"/>
      <c r="E23" s="29"/>
      <c r="F23" s="30"/>
      <c r="G23" s="30"/>
      <c r="H23" s="31"/>
      <c r="I23" s="39"/>
      <c r="J23" s="30"/>
      <c r="K23" s="31"/>
      <c r="L23" s="39"/>
      <c r="M23" s="30"/>
      <c r="N23" s="31"/>
      <c r="O23" s="33">
        <f t="shared" si="1"/>
      </c>
      <c r="P23" s="25"/>
      <c r="Q23" s="26"/>
      <c r="R23" s="33">
        <f t="shared" si="2"/>
      </c>
      <c r="S23" s="25"/>
      <c r="T23" s="26"/>
      <c r="U23" s="37">
        <f t="shared" si="3"/>
      </c>
      <c r="V23" s="25"/>
      <c r="W23" s="26"/>
      <c r="X23" s="37">
        <f t="shared" si="4"/>
      </c>
      <c r="Y23" s="25"/>
      <c r="Z23" s="26"/>
      <c r="AA23" s="37">
        <f t="shared" si="5"/>
      </c>
      <c r="AB23" s="25"/>
      <c r="AC23" s="26"/>
      <c r="AD23" s="24">
        <f t="shared" si="6"/>
      </c>
      <c r="AE23" s="25"/>
      <c r="AF23" s="25"/>
      <c r="AG23" s="25"/>
      <c r="AH23" s="25"/>
      <c r="AI23" s="26"/>
      <c r="AJ23" s="1"/>
      <c r="AK23" s="18"/>
      <c r="AL23" s="3"/>
      <c r="AM23" s="1"/>
      <c r="AN23" s="1"/>
    </row>
    <row r="24" spans="1:42" ht="18" customHeight="1">
      <c r="A24" s="38">
        <f t="shared" si="7"/>
      </c>
      <c r="B24" s="26"/>
      <c r="C24" s="40">
        <f t="shared" si="0"/>
      </c>
      <c r="D24" s="26"/>
      <c r="E24" s="29"/>
      <c r="F24" s="30"/>
      <c r="G24" s="30"/>
      <c r="H24" s="31"/>
      <c r="I24" s="39"/>
      <c r="J24" s="30"/>
      <c r="K24" s="31"/>
      <c r="L24" s="39"/>
      <c r="M24" s="30"/>
      <c r="N24" s="31"/>
      <c r="O24" s="33" t="str">
        <f t="shared" si="1"/>
      </c>
      <c r="P24" s="25"/>
      <c r="Q24" s="26"/>
      <c r="R24" s="33" t="str">
        <f t="shared" si="2"/>
      </c>
      <c r="S24" s="25"/>
      <c r="T24" s="26"/>
      <c r="U24" s="37" t="str">
        <f t="shared" si="3"/>
      </c>
      <c r="V24" s="25"/>
      <c r="W24" s="26"/>
      <c r="X24" s="37" t="str">
        <f t="shared" si="4"/>
      </c>
      <c r="Y24" s="25"/>
      <c r="Z24" s="26"/>
      <c r="AA24" s="37" t="str">
        <f t="shared" si="5"/>
      </c>
      <c r="AB24" s="25"/>
      <c r="AC24" s="26"/>
      <c r="AD24" s="24" t="str">
        <f t="shared" si="6"/>
      </c>
      <c r="AE24" s="25"/>
      <c r="AF24" s="25"/>
      <c r="AG24" s="25"/>
      <c r="AH24" s="25"/>
      <c r="AI24" s="26"/>
      <c r="AJ24" s="1"/>
      <c r="AK24" s="18"/>
      <c r="AL24" s="3"/>
      <c r="AM24" s="1"/>
      <c r="AN24" s="1"/>
    </row>
    <row r="25" spans="1:42" ht="18" customHeight="1">
      <c r="A25" s="38">
        <f t="shared" si="7"/>
      </c>
      <c r="B25" s="26"/>
      <c r="C25" s="40">
        <f t="shared" si="0"/>
      </c>
      <c r="D25" s="26"/>
      <c r="E25" s="29"/>
      <c r="F25" s="30"/>
      <c r="G25" s="30"/>
      <c r="H25" s="31"/>
      <c r="I25" s="39"/>
      <c r="J25" s="30"/>
      <c r="K25" s="31"/>
      <c r="L25" s="39"/>
      <c r="M25" s="30"/>
      <c r="N25" s="31"/>
      <c r="O25" s="33" t="str">
        <f t="shared" si="1"/>
      </c>
      <c r="P25" s="25"/>
      <c r="Q25" s="26"/>
      <c r="R25" s="33" t="str">
        <f t="shared" si="2"/>
      </c>
      <c r="S25" s="25"/>
      <c r="T25" s="26"/>
      <c r="U25" s="37" t="str">
        <f t="shared" si="3"/>
      </c>
      <c r="V25" s="25"/>
      <c r="W25" s="26"/>
      <c r="X25" s="37" t="str">
        <f t="shared" si="4"/>
      </c>
      <c r="Y25" s="25"/>
      <c r="Z25" s="26"/>
      <c r="AA25" s="37" t="str">
        <f t="shared" si="5"/>
      </c>
      <c r="AB25" s="25"/>
      <c r="AC25" s="26"/>
      <c r="AD25" s="24" t="str">
        <f t="shared" si="6"/>
      </c>
      <c r="AE25" s="25"/>
      <c r="AF25" s="25"/>
      <c r="AG25" s="25"/>
      <c r="AH25" s="25"/>
      <c r="AI25" s="26"/>
      <c r="AJ25" s="1"/>
      <c r="AK25" s="18"/>
      <c r="AL25" s="3"/>
      <c r="AM25" s="1"/>
      <c r="AN25" s="1"/>
    </row>
    <row r="26" spans="1:42" ht="18" customHeight="1">
      <c r="A26" s="38">
        <f t="shared" si="7"/>
      </c>
      <c r="B26" s="26"/>
      <c r="C26" s="40">
        <f t="shared" si="0"/>
      </c>
      <c r="D26" s="26"/>
      <c r="E26" s="29"/>
      <c r="F26" s="30"/>
      <c r="G26" s="30"/>
      <c r="H26" s="31"/>
      <c r="I26" s="39"/>
      <c r="J26" s="30"/>
      <c r="K26" s="31"/>
      <c r="L26" s="39"/>
      <c r="M26" s="30"/>
      <c r="N26" s="31"/>
      <c r="O26" s="33">
        <f t="shared" si="1"/>
      </c>
      <c r="P26" s="25"/>
      <c r="Q26" s="26"/>
      <c r="R26" s="33">
        <f t="shared" si="2"/>
      </c>
      <c r="S26" s="25"/>
      <c r="T26" s="26"/>
      <c r="U26" s="37">
        <f t="shared" si="3"/>
      </c>
      <c r="V26" s="25"/>
      <c r="W26" s="26"/>
      <c r="X26" s="37">
        <f t="shared" si="4"/>
      </c>
      <c r="Y26" s="25"/>
      <c r="Z26" s="26"/>
      <c r="AA26" s="37">
        <f t="shared" si="5"/>
      </c>
      <c r="AB26" s="25"/>
      <c r="AC26" s="26"/>
      <c r="AD26" s="24">
        <f t="shared" si="6"/>
      </c>
      <c r="AE26" s="25"/>
      <c r="AF26" s="25"/>
      <c r="AG26" s="25"/>
      <c r="AH26" s="25"/>
      <c r="AI26" s="26"/>
      <c r="AJ26" s="1"/>
      <c r="AK26" s="18"/>
      <c r="AL26" s="3"/>
      <c r="AM26" s="1"/>
      <c r="AN26" s="1"/>
    </row>
    <row r="27" spans="1:42" ht="18" customHeight="1">
      <c r="A27" s="38">
        <f t="shared" si="7"/>
      </c>
      <c r="B27" s="26"/>
      <c r="C27" s="40">
        <f t="shared" si="0"/>
      </c>
      <c r="D27" s="26"/>
      <c r="E27" s="29"/>
      <c r="F27" s="30"/>
      <c r="G27" s="30"/>
      <c r="H27" s="31"/>
      <c r="I27" s="39"/>
      <c r="J27" s="30"/>
      <c r="K27" s="31"/>
      <c r="L27" s="39"/>
      <c r="M27" s="30"/>
      <c r="N27" s="31"/>
      <c r="O27" s="33">
        <f t="shared" si="1"/>
      </c>
      <c r="P27" s="25"/>
      <c r="Q27" s="26"/>
      <c r="R27" s="33">
        <f t="shared" si="2"/>
      </c>
      <c r="S27" s="25"/>
      <c r="T27" s="26"/>
      <c r="U27" s="37">
        <f t="shared" si="3"/>
      </c>
      <c r="V27" s="25"/>
      <c r="W27" s="26"/>
      <c r="X27" s="37">
        <f t="shared" si="4"/>
      </c>
      <c r="Y27" s="25"/>
      <c r="Z27" s="26"/>
      <c r="AA27" s="37">
        <f t="shared" si="5"/>
      </c>
      <c r="AB27" s="25"/>
      <c r="AC27" s="26"/>
      <c r="AD27" s="24">
        <f t="shared" si="6"/>
      </c>
      <c r="AE27" s="25"/>
      <c r="AF27" s="25"/>
      <c r="AG27" s="25"/>
      <c r="AH27" s="25"/>
      <c r="AI27" s="26"/>
      <c r="AJ27" s="1"/>
      <c r="AK27" s="18"/>
      <c r="AL27" s="3"/>
      <c r="AM27" s="1"/>
      <c r="AN27" s="1"/>
    </row>
    <row r="28" spans="1:42" ht="18" customHeight="1">
      <c r="A28" s="38">
        <f t="shared" si="7"/>
      </c>
      <c r="B28" s="26"/>
      <c r="C28" s="40">
        <f t="shared" si="0"/>
      </c>
      <c r="D28" s="26"/>
      <c r="E28" s="29"/>
      <c r="F28" s="30"/>
      <c r="G28" s="30"/>
      <c r="H28" s="31"/>
      <c r="I28" s="39"/>
      <c r="J28" s="30"/>
      <c r="K28" s="31"/>
      <c r="L28" s="39"/>
      <c r="M28" s="30"/>
      <c r="N28" s="31"/>
      <c r="O28" s="33" t="str">
        <f t="shared" si="1"/>
      </c>
      <c r="P28" s="25"/>
      <c r="Q28" s="26"/>
      <c r="R28" s="33" t="str">
        <f t="shared" si="2"/>
      </c>
      <c r="S28" s="25"/>
      <c r="T28" s="26"/>
      <c r="U28" s="37" t="str">
        <f t="shared" si="3"/>
      </c>
      <c r="V28" s="25"/>
      <c r="W28" s="26"/>
      <c r="X28" s="37" t="str">
        <f t="shared" si="4"/>
      </c>
      <c r="Y28" s="25"/>
      <c r="Z28" s="26"/>
      <c r="AA28" s="37" t="str">
        <f t="shared" si="5"/>
      </c>
      <c r="AB28" s="25"/>
      <c r="AC28" s="26"/>
      <c r="AD28" s="24" t="str">
        <f t="shared" si="6"/>
      </c>
      <c r="AE28" s="25"/>
      <c r="AF28" s="25"/>
      <c r="AG28" s="25"/>
      <c r="AH28" s="25"/>
      <c r="AI28" s="26"/>
      <c r="AJ28" s="1"/>
      <c r="AK28" s="18"/>
      <c r="AL28" s="3"/>
      <c r="AM28" s="1"/>
      <c r="AN28" s="1"/>
    </row>
    <row r="29" spans="1:42" ht="18" customHeight="1">
      <c r="A29" s="38">
        <f t="shared" si="7"/>
      </c>
      <c r="B29" s="26"/>
      <c r="C29" s="40">
        <f t="shared" si="0"/>
      </c>
      <c r="D29" s="26"/>
      <c r="E29" s="29"/>
      <c r="F29" s="30"/>
      <c r="G29" s="30"/>
      <c r="H29" s="31"/>
      <c r="I29" s="39"/>
      <c r="J29" s="30"/>
      <c r="K29" s="31"/>
      <c r="L29" s="39"/>
      <c r="M29" s="30"/>
      <c r="N29" s="31"/>
      <c r="O29" s="33" t="str">
        <f t="shared" si="1"/>
      </c>
      <c r="P29" s="25"/>
      <c r="Q29" s="26"/>
      <c r="R29" s="33" t="str">
        <f t="shared" si="2"/>
      </c>
      <c r="S29" s="25"/>
      <c r="T29" s="26"/>
      <c r="U29" s="37" t="str">
        <f t="shared" si="3"/>
      </c>
      <c r="V29" s="25"/>
      <c r="W29" s="26"/>
      <c r="X29" s="37" t="str">
        <f t="shared" si="4"/>
      </c>
      <c r="Y29" s="25"/>
      <c r="Z29" s="26"/>
      <c r="AA29" s="37" t="str">
        <f t="shared" si="5"/>
      </c>
      <c r="AB29" s="25"/>
      <c r="AC29" s="26"/>
      <c r="AD29" s="24" t="str">
        <f t="shared" si="6"/>
      </c>
      <c r="AE29" s="25"/>
      <c r="AF29" s="25"/>
      <c r="AG29" s="25"/>
      <c r="AH29" s="25"/>
      <c r="AI29" s="26"/>
      <c r="AJ29" s="1"/>
      <c r="AK29" s="18"/>
      <c r="AL29" s="3"/>
      <c r="AM29" s="1"/>
      <c r="AN29" s="1"/>
    </row>
    <row r="30" spans="1:42" ht="18" customHeight="1">
      <c r="A30" s="38">
        <f t="shared" si="7"/>
      </c>
      <c r="B30" s="26"/>
      <c r="C30" s="40">
        <f t="shared" si="0"/>
      </c>
      <c r="D30" s="26"/>
      <c r="E30" s="29"/>
      <c r="F30" s="30"/>
      <c r="G30" s="30"/>
      <c r="H30" s="31"/>
      <c r="I30" s="39"/>
      <c r="J30" s="30"/>
      <c r="K30" s="31"/>
      <c r="L30" s="39"/>
      <c r="M30" s="30"/>
      <c r="N30" s="31"/>
      <c r="O30" s="33" t="str">
        <f t="shared" si="1"/>
      </c>
      <c r="P30" s="25"/>
      <c r="Q30" s="26"/>
      <c r="R30" s="33" t="str">
        <f t="shared" si="2"/>
      </c>
      <c r="S30" s="25"/>
      <c r="T30" s="26"/>
      <c r="U30" s="37" t="str">
        <f t="shared" si="3"/>
      </c>
      <c r="V30" s="25"/>
      <c r="W30" s="26"/>
      <c r="X30" s="37" t="str">
        <f t="shared" si="4"/>
      </c>
      <c r="Y30" s="25"/>
      <c r="Z30" s="26"/>
      <c r="AA30" s="37" t="str">
        <f t="shared" si="5"/>
      </c>
      <c r="AB30" s="25"/>
      <c r="AC30" s="26"/>
      <c r="AD30" s="24" t="str">
        <f t="shared" si="6"/>
      </c>
      <c r="AE30" s="25"/>
      <c r="AF30" s="25"/>
      <c r="AG30" s="25"/>
      <c r="AH30" s="25"/>
      <c r="AI30" s="26"/>
      <c r="AJ30" s="1"/>
      <c r="AK30" s="18"/>
      <c r="AL30" s="3"/>
      <c r="AM30" s="1"/>
      <c r="AN30" s="1"/>
    </row>
    <row r="31" spans="1:42" ht="18" customHeight="1">
      <c r="A31" s="38">
        <f t="shared" si="7"/>
      </c>
      <c r="B31" s="26"/>
      <c r="C31" s="40">
        <f t="shared" si="0"/>
      </c>
      <c r="D31" s="26"/>
      <c r="E31" s="29"/>
      <c r="F31" s="30"/>
      <c r="G31" s="30"/>
      <c r="H31" s="31"/>
      <c r="I31" s="39"/>
      <c r="J31" s="30"/>
      <c r="K31" s="31"/>
      <c r="L31" s="39"/>
      <c r="M31" s="30"/>
      <c r="N31" s="31"/>
      <c r="O31" s="33" t="str">
        <f t="shared" si="1"/>
      </c>
      <c r="P31" s="25"/>
      <c r="Q31" s="26"/>
      <c r="R31" s="33" t="str">
        <f t="shared" si="2"/>
      </c>
      <c r="S31" s="25"/>
      <c r="T31" s="26"/>
      <c r="U31" s="37" t="str">
        <f t="shared" si="3"/>
      </c>
      <c r="V31" s="25"/>
      <c r="W31" s="26"/>
      <c r="X31" s="37" t="str">
        <f t="shared" si="4"/>
      </c>
      <c r="Y31" s="25"/>
      <c r="Z31" s="26"/>
      <c r="AA31" s="37" t="str">
        <f t="shared" si="5"/>
      </c>
      <c r="AB31" s="25"/>
      <c r="AC31" s="26"/>
      <c r="AD31" s="24" t="str">
        <f t="shared" si="6"/>
      </c>
      <c r="AE31" s="25"/>
      <c r="AF31" s="25"/>
      <c r="AG31" s="25"/>
      <c r="AH31" s="25"/>
      <c r="AI31" s="26"/>
      <c r="AJ31" s="1"/>
      <c r="AK31" s="18"/>
      <c r="AL31" s="3"/>
      <c r="AM31" s="1"/>
      <c r="AN31" s="1"/>
    </row>
    <row r="32" spans="1:42" ht="18" customHeight="1">
      <c r="A32" s="38">
        <f t="shared" si="7"/>
      </c>
      <c r="B32" s="26"/>
      <c r="C32" s="40">
        <f t="shared" si="0"/>
      </c>
      <c r="D32" s="26"/>
      <c r="E32" s="69"/>
      <c r="F32" s="70"/>
      <c r="G32" s="70"/>
      <c r="H32" s="71"/>
      <c r="I32" s="39"/>
      <c r="J32" s="30"/>
      <c r="K32" s="31"/>
      <c r="L32" s="39"/>
      <c r="M32" s="30"/>
      <c r="N32" s="31"/>
      <c r="O32" s="33" t="str">
        <f t="shared" si="1"/>
      </c>
      <c r="P32" s="25"/>
      <c r="Q32" s="26"/>
      <c r="R32" s="33" t="str">
        <f t="shared" si="2"/>
      </c>
      <c r="S32" s="25"/>
      <c r="T32" s="26"/>
      <c r="U32" s="37" t="str">
        <f t="shared" si="3"/>
      </c>
      <c r="V32" s="25"/>
      <c r="W32" s="26"/>
      <c r="X32" s="37" t="str">
        <f t="shared" si="4"/>
      </c>
      <c r="Y32" s="25"/>
      <c r="Z32" s="26"/>
      <c r="AA32" s="37" t="str">
        <f t="shared" si="5"/>
      </c>
      <c r="AB32" s="25"/>
      <c r="AC32" s="26"/>
      <c r="AD32" s="24" t="str">
        <f t="shared" si="6"/>
      </c>
      <c r="AE32" s="25"/>
      <c r="AF32" s="25"/>
      <c r="AG32" s="25"/>
      <c r="AH32" s="25"/>
      <c r="AI32" s="26"/>
      <c r="AJ32" s="1"/>
      <c r="AK32" s="18"/>
      <c r="AL32" s="3"/>
      <c r="AM32" s="1"/>
      <c r="AN32" s="1"/>
    </row>
    <row r="33" spans="1:40" ht="18" customHeight="1">
      <c r="A33" s="32">
        <f t="shared" si="7"/>
      </c>
      <c r="B33" s="26"/>
      <c r="C33" s="68">
        <f t="shared" si="0"/>
      </c>
      <c r="D33" s="26"/>
      <c r="E33" s="29"/>
      <c r="F33" s="30"/>
      <c r="G33" s="30"/>
      <c r="H33" s="31"/>
      <c r="I33" s="39"/>
      <c r="J33" s="30"/>
      <c r="K33" s="31"/>
      <c r="L33" s="39"/>
      <c r="M33" s="30"/>
      <c r="N33" s="31"/>
      <c r="O33" s="33" t="str">
        <f t="shared" si="1"/>
      </c>
      <c r="P33" s="25"/>
      <c r="Q33" s="26"/>
      <c r="R33" s="33" t="str">
        <f t="shared" si="2"/>
      </c>
      <c r="S33" s="25"/>
      <c r="T33" s="26"/>
      <c r="U33" s="37" t="str">
        <f t="shared" si="3"/>
      </c>
      <c r="V33" s="25"/>
      <c r="W33" s="26"/>
      <c r="X33" s="37" t="str">
        <f t="shared" si="4"/>
      </c>
      <c r="Y33" s="25"/>
      <c r="Z33" s="26"/>
      <c r="AA33" s="37" t="str">
        <f t="shared" si="5"/>
      </c>
      <c r="AB33" s="25"/>
      <c r="AC33" s="26"/>
      <c r="AD33" s="24" t="str">
        <f t="shared" si="6"/>
      </c>
      <c r="AE33" s="25"/>
      <c r="AF33" s="25"/>
      <c r="AG33" s="25"/>
      <c r="AH33" s="25"/>
      <c r="AI33" s="26"/>
      <c r="AJ33" s="1"/>
      <c r="AK33" s="18"/>
      <c r="AL33" s="3"/>
      <c r="AM33" s="1"/>
      <c r="AN33" s="1"/>
    </row>
    <row r="34" spans="1:40" ht="18" customHeight="1">
      <c r="A34" s="38">
        <f t="shared" si="7"/>
      </c>
      <c r="B34" s="26"/>
      <c r="C34" s="40">
        <f t="shared" si="0"/>
      </c>
      <c r="D34" s="26"/>
      <c r="E34" s="29"/>
      <c r="F34" s="30"/>
      <c r="G34" s="30"/>
      <c r="H34" s="31"/>
      <c r="I34" s="34"/>
      <c r="J34" s="35"/>
      <c r="K34" s="36"/>
      <c r="L34" s="34"/>
      <c r="M34" s="35"/>
      <c r="N34" s="36"/>
      <c r="O34" s="33" t="str">
        <f t="shared" si="1"/>
      </c>
      <c r="P34" s="25"/>
      <c r="Q34" s="26"/>
      <c r="R34" s="33" t="str">
        <f t="shared" si="2"/>
      </c>
      <c r="S34" s="25"/>
      <c r="T34" s="26"/>
      <c r="U34" s="37" t="str">
        <f t="shared" si="3"/>
      </c>
      <c r="V34" s="25"/>
      <c r="W34" s="26"/>
      <c r="X34" s="37" t="str">
        <f t="shared" si="4"/>
      </c>
      <c r="Y34" s="25"/>
      <c r="Z34" s="26"/>
      <c r="AA34" s="37" t="str">
        <f t="shared" si="5"/>
      </c>
      <c r="AB34" s="25"/>
      <c r="AC34" s="26"/>
      <c r="AD34" s="24" t="str">
        <f t="shared" si="6"/>
      </c>
      <c r="AE34" s="25"/>
      <c r="AF34" s="25"/>
      <c r="AG34" s="25"/>
      <c r="AH34" s="25"/>
      <c r="AI34" s="26"/>
      <c r="AJ34" s="1"/>
      <c r="AK34" s="18"/>
      <c r="AL34" s="3"/>
      <c r="AM34" s="1"/>
      <c r="AN34" s="1"/>
    </row>
    <row r="35" spans="1:40" ht="18" customHeight="1">
      <c r="A35" s="38">
        <f t="shared" si="7"/>
      </c>
      <c r="B35" s="26"/>
      <c r="C35" s="40">
        <f t="shared" si="0"/>
      </c>
      <c r="D35" s="26"/>
      <c r="E35" s="29"/>
      <c r="F35" s="30"/>
      <c r="G35" s="30"/>
      <c r="H35" s="31"/>
      <c r="I35" s="39"/>
      <c r="J35" s="30"/>
      <c r="K35" s="31"/>
      <c r="L35" s="39"/>
      <c r="M35" s="30"/>
      <c r="N35" s="31"/>
      <c r="O35" s="33" t="str">
        <f t="shared" si="1"/>
      </c>
      <c r="P35" s="25"/>
      <c r="Q35" s="26"/>
      <c r="R35" s="33" t="str">
        <f t="shared" si="2"/>
      </c>
      <c r="S35" s="25"/>
      <c r="T35" s="26"/>
      <c r="U35" s="37" t="str">
        <f t="shared" si="3"/>
      </c>
      <c r="V35" s="25"/>
      <c r="W35" s="26"/>
      <c r="X35" s="37" t="str">
        <f t="shared" si="4"/>
      </c>
      <c r="Y35" s="25"/>
      <c r="Z35" s="26"/>
      <c r="AA35" s="37" t="str">
        <f t="shared" si="5"/>
      </c>
      <c r="AB35" s="25"/>
      <c r="AC35" s="26"/>
      <c r="AD35" s="24" t="str">
        <f t="shared" si="6"/>
      </c>
      <c r="AE35" s="25"/>
      <c r="AF35" s="25"/>
      <c r="AG35" s="25"/>
      <c r="AH35" s="25"/>
      <c r="AI35" s="26"/>
      <c r="AJ35" s="1"/>
      <c r="AK35" s="18"/>
      <c r="AL35" s="3"/>
      <c r="AM35" s="1"/>
      <c r="AN35" s="1"/>
    </row>
    <row r="36" spans="1:40" ht="18" customHeight="1">
      <c r="A36" s="38">
        <f t="shared" si="7"/>
      </c>
      <c r="B36" s="26"/>
      <c r="C36" s="40">
        <f t="shared" si="0"/>
      </c>
      <c r="D36" s="26"/>
      <c r="E36" s="29"/>
      <c r="F36" s="30"/>
      <c r="G36" s="30"/>
      <c r="H36" s="31"/>
      <c r="I36" s="39"/>
      <c r="J36" s="30"/>
      <c r="K36" s="31"/>
      <c r="L36" s="39"/>
      <c r="M36" s="30"/>
      <c r="N36" s="31"/>
      <c r="O36" s="33" t="str">
        <f t="shared" si="1"/>
      </c>
      <c r="P36" s="25"/>
      <c r="Q36" s="26"/>
      <c r="R36" s="33" t="str">
        <f t="shared" si="2"/>
      </c>
      <c r="S36" s="25"/>
      <c r="T36" s="26"/>
      <c r="U36" s="37" t="str">
        <f t="shared" si="3"/>
      </c>
      <c r="V36" s="25"/>
      <c r="W36" s="26"/>
      <c r="X36" s="37" t="str">
        <f t="shared" si="4"/>
      </c>
      <c r="Y36" s="25"/>
      <c r="Z36" s="26"/>
      <c r="AA36" s="37" t="str">
        <f t="shared" si="5"/>
      </c>
      <c r="AB36" s="25"/>
      <c r="AC36" s="26"/>
      <c r="AD36" s="24" t="str">
        <f t="shared" si="6"/>
      </c>
      <c r="AE36" s="25"/>
      <c r="AF36" s="25"/>
      <c r="AG36" s="25"/>
      <c r="AH36" s="25"/>
      <c r="AI36" s="26"/>
      <c r="AJ36" s="1"/>
      <c r="AK36" s="18"/>
      <c r="AL36" s="3"/>
      <c r="AM36" s="1"/>
      <c r="AN36" s="1"/>
    </row>
    <row r="37" spans="1:40" ht="18" customHeight="1">
      <c r="A37" s="38">
        <f t="shared" si="7"/>
      </c>
      <c r="B37" s="26"/>
      <c r="C37" s="40">
        <f t="shared" si="0"/>
      </c>
      <c r="D37" s="26"/>
      <c r="E37" s="29"/>
      <c r="F37" s="30"/>
      <c r="G37" s="30"/>
      <c r="H37" s="31"/>
      <c r="I37" s="39"/>
      <c r="J37" s="30"/>
      <c r="K37" s="31"/>
      <c r="L37" s="39"/>
      <c r="M37" s="30"/>
      <c r="N37" s="31"/>
      <c r="O37" s="33" t="str">
        <f t="shared" si="1"/>
      </c>
      <c r="P37" s="25"/>
      <c r="Q37" s="26"/>
      <c r="R37" s="33" t="str">
        <f t="shared" si="2"/>
      </c>
      <c r="S37" s="25"/>
      <c r="T37" s="26"/>
      <c r="U37" s="37" t="str">
        <f t="shared" si="3"/>
      </c>
      <c r="V37" s="25"/>
      <c r="W37" s="26"/>
      <c r="X37" s="37" t="str">
        <f t="shared" si="4"/>
      </c>
      <c r="Y37" s="25"/>
      <c r="Z37" s="26"/>
      <c r="AA37" s="37" t="str">
        <f t="shared" si="5"/>
      </c>
      <c r="AB37" s="25"/>
      <c r="AC37" s="26"/>
      <c r="AD37" s="24" t="str">
        <f t="shared" si="6"/>
      </c>
      <c r="AE37" s="25"/>
      <c r="AF37" s="25"/>
      <c r="AG37" s="25"/>
      <c r="AH37" s="25"/>
      <c r="AI37" s="26"/>
      <c r="AJ37" s="1"/>
      <c r="AK37" s="18"/>
      <c r="AL37" s="3"/>
      <c r="AM37" s="1"/>
      <c r="AN37" s="1"/>
    </row>
    <row r="38" spans="1:40" ht="18" customHeight="1">
      <c r="A38" s="38">
        <f t="shared" si="7"/>
      </c>
      <c r="B38" s="26"/>
      <c r="C38" s="40">
        <f t="shared" si="0"/>
      </c>
      <c r="D38" s="26"/>
      <c r="E38" s="29"/>
      <c r="F38" s="30"/>
      <c r="G38" s="30"/>
      <c r="H38" s="31"/>
      <c r="I38" s="39"/>
      <c r="J38" s="30"/>
      <c r="K38" s="31"/>
      <c r="L38" s="39"/>
      <c r="M38" s="30"/>
      <c r="N38" s="31"/>
      <c r="O38" s="33" t="str">
        <f t="shared" si="1"/>
      </c>
      <c r="P38" s="25"/>
      <c r="Q38" s="26"/>
      <c r="R38" s="33" t="str">
        <f t="shared" si="2"/>
      </c>
      <c r="S38" s="25"/>
      <c r="T38" s="26"/>
      <c r="U38" s="37" t="str">
        <f t="shared" si="3"/>
      </c>
      <c r="V38" s="25"/>
      <c r="W38" s="26"/>
      <c r="X38" s="37" t="str">
        <f t="shared" si="4"/>
      </c>
      <c r="Y38" s="25"/>
      <c r="Z38" s="26"/>
      <c r="AA38" s="37" t="str">
        <f t="shared" si="5"/>
      </c>
      <c r="AB38" s="25"/>
      <c r="AC38" s="26"/>
      <c r="AD38" s="24" t="str">
        <f t="shared" si="6"/>
      </c>
      <c r="AE38" s="25"/>
      <c r="AF38" s="25"/>
      <c r="AG38" s="25"/>
      <c r="AH38" s="25"/>
      <c r="AI38" s="26"/>
      <c r="AJ38" s="1"/>
      <c r="AK38" s="18"/>
      <c r="AL38" s="3"/>
      <c r="AM38" s="1"/>
      <c r="AN38" s="1"/>
    </row>
    <row r="39" spans="1:40" ht="18" customHeight="1">
      <c r="A39" s="38">
        <f t="shared" si="7"/>
      </c>
      <c r="B39" s="26"/>
      <c r="C39" s="40">
        <f t="shared" si="0"/>
      </c>
      <c r="D39" s="26"/>
      <c r="E39" s="29"/>
      <c r="F39" s="30"/>
      <c r="G39" s="30"/>
      <c r="H39" s="31"/>
      <c r="I39" s="39"/>
      <c r="J39" s="30"/>
      <c r="K39" s="31"/>
      <c r="L39" s="39"/>
      <c r="M39" s="30"/>
      <c r="N39" s="31"/>
      <c r="O39" s="33" t="str">
        <f t="shared" si="1"/>
      </c>
      <c r="P39" s="25"/>
      <c r="Q39" s="26"/>
      <c r="R39" s="33" t="str">
        <f t="shared" si="2"/>
      </c>
      <c r="S39" s="25"/>
      <c r="T39" s="26"/>
      <c r="U39" s="37" t="str">
        <f t="shared" si="3"/>
      </c>
      <c r="V39" s="25"/>
      <c r="W39" s="26"/>
      <c r="X39" s="37" t="str">
        <f t="shared" si="4"/>
      </c>
      <c r="Y39" s="25"/>
      <c r="Z39" s="26"/>
      <c r="AA39" s="37" t="str">
        <f t="shared" si="5"/>
      </c>
      <c r="AB39" s="25"/>
      <c r="AC39" s="26"/>
      <c r="AD39" s="24" t="str">
        <f t="shared" si="6"/>
      </c>
      <c r="AE39" s="25"/>
      <c r="AF39" s="25"/>
      <c r="AG39" s="25"/>
      <c r="AH39" s="25"/>
      <c r="AI39" s="26"/>
      <c r="AJ39" s="1"/>
      <c r="AK39" s="18"/>
      <c r="AL39" s="3"/>
      <c r="AM39" s="1"/>
      <c r="AN39" s="1"/>
    </row>
    <row r="40" spans="1:40" ht="18" customHeight="1">
      <c r="A40" s="38">
        <f t="shared" si="7"/>
      </c>
      <c r="B40" s="26"/>
      <c r="C40" s="40">
        <f t="shared" si="0"/>
      </c>
      <c r="D40" s="26"/>
      <c r="E40" s="29"/>
      <c r="F40" s="30"/>
      <c r="G40" s="30"/>
      <c r="H40" s="31"/>
      <c r="I40" s="39"/>
      <c r="J40" s="30"/>
      <c r="K40" s="31"/>
      <c r="L40" s="39"/>
      <c r="M40" s="30"/>
      <c r="N40" s="31"/>
      <c r="O40" s="33">
        <f t="shared" si="1"/>
      </c>
      <c r="P40" s="25"/>
      <c r="Q40" s="26"/>
      <c r="R40" s="33">
        <f t="shared" si="2"/>
      </c>
      <c r="S40" s="25"/>
      <c r="T40" s="26"/>
      <c r="U40" s="37">
        <f t="shared" si="3"/>
      </c>
      <c r="V40" s="25"/>
      <c r="W40" s="26"/>
      <c r="X40" s="37">
        <f t="shared" si="4"/>
      </c>
      <c r="Y40" s="25"/>
      <c r="Z40" s="26"/>
      <c r="AA40" s="37">
        <f t="shared" si="5"/>
      </c>
      <c r="AB40" s="25"/>
      <c r="AC40" s="26"/>
      <c r="AD40" s="24">
        <f t="shared" si="6"/>
      </c>
      <c r="AE40" s="25"/>
      <c r="AF40" s="25"/>
      <c r="AG40" s="25"/>
      <c r="AH40" s="25"/>
      <c r="AI40" s="26"/>
      <c r="AJ40" s="1"/>
      <c r="AK40" s="18"/>
      <c r="AL40" s="3"/>
      <c r="AM40" s="1"/>
      <c r="AN40" s="1"/>
    </row>
    <row r="41" spans="1:40" ht="18" customHeight="1">
      <c r="A41" s="38">
        <f ca="1">IF(AND(R1=2,MOD(YEAR(TODAY()),4)&lt;&gt;0),"--",A40+1)</f>
      </c>
      <c r="B41" s="26"/>
      <c r="C41" s="40">
        <f t="shared" ca="1" si="0"/>
      </c>
      <c r="D41" s="26"/>
      <c r="E41" s="29"/>
      <c r="F41" s="30"/>
      <c r="G41" s="30"/>
      <c r="H41" s="31"/>
      <c r="I41" s="39"/>
      <c r="J41" s="30"/>
      <c r="K41" s="31"/>
      <c r="L41" s="39"/>
      <c r="M41" s="30"/>
      <c r="N41" s="31"/>
      <c r="O41" s="33">
        <f t="shared" si="1"/>
      </c>
      <c r="P41" s="25"/>
      <c r="Q41" s="26"/>
      <c r="R41" s="33">
        <f t="shared" si="2"/>
      </c>
      <c r="S41" s="25"/>
      <c r="T41" s="26"/>
      <c r="U41" s="37">
        <f t="shared" si="3"/>
      </c>
      <c r="V41" s="25"/>
      <c r="W41" s="26"/>
      <c r="X41" s="37">
        <f t="shared" si="4"/>
      </c>
      <c r="Y41" s="25"/>
      <c r="Z41" s="26"/>
      <c r="AA41" s="37">
        <f t="shared" si="5"/>
      </c>
      <c r="AB41" s="25"/>
      <c r="AC41" s="26"/>
      <c r="AD41" s="24">
        <f t="shared" si="6"/>
      </c>
      <c r="AE41" s="25"/>
      <c r="AF41" s="25"/>
      <c r="AG41" s="25"/>
      <c r="AH41" s="25"/>
      <c r="AI41" s="26"/>
      <c r="AJ41" s="1"/>
      <c r="AK41" s="18"/>
      <c r="AL41" s="3"/>
      <c r="AM41" s="1"/>
      <c r="AN41" s="1"/>
    </row>
    <row r="42" spans="1:40" ht="18" customHeight="1">
      <c r="A42" s="38">
        <f ca="1">IF(R1=2,"--",A41+1)</f>
      </c>
      <c r="B42" s="26"/>
      <c r="C42" s="40">
        <f t="shared" ca="1" si="0"/>
      </c>
      <c r="D42" s="26"/>
      <c r="E42" s="29"/>
      <c r="F42" s="30"/>
      <c r="G42" s="30"/>
      <c r="H42" s="31"/>
      <c r="I42" s="39"/>
      <c r="J42" s="30"/>
      <c r="K42" s="31"/>
      <c r="L42" s="39"/>
      <c r="M42" s="30"/>
      <c r="N42" s="31"/>
      <c r="O42" s="33">
        <f t="shared" si="1"/>
      </c>
      <c r="P42" s="25"/>
      <c r="Q42" s="26"/>
      <c r="R42" s="33">
        <f t="shared" si="2"/>
      </c>
      <c r="S42" s="25"/>
      <c r="T42" s="26"/>
      <c r="U42" s="37">
        <f t="shared" si="3"/>
      </c>
      <c r="V42" s="25"/>
      <c r="W42" s="26"/>
      <c r="X42" s="37">
        <f t="shared" si="4"/>
      </c>
      <c r="Y42" s="25"/>
      <c r="Z42" s="26"/>
      <c r="AA42" s="37">
        <f t="shared" si="5"/>
      </c>
      <c r="AB42" s="25"/>
      <c r="AC42" s="26"/>
      <c r="AD42" s="24">
        <f t="shared" si="6"/>
      </c>
      <c r="AE42" s="25"/>
      <c r="AF42" s="25"/>
      <c r="AG42" s="25"/>
      <c r="AH42" s="25"/>
      <c r="AI42" s="26"/>
      <c r="AJ42" s="1"/>
      <c r="AK42" s="18"/>
      <c r="AL42" s="3"/>
      <c r="AM42" s="1"/>
      <c r="AN42" s="1"/>
    </row>
    <row r="43" spans="1:40" ht="18" customHeight="1">
      <c r="A43" s="73" t="str">
        <f>IF(OR(R1=2,R1=4,R1=6,R1=9,R1=11),"--",A42+1)</f>
      </c>
      <c r="B43" s="74"/>
      <c r="C43" s="75" t="str">
        <f t="shared" si="0"/>
      </c>
      <c r="D43" s="74"/>
      <c r="E43" s="29"/>
      <c r="F43" s="30"/>
      <c r="G43" s="30"/>
      <c r="H43" s="31"/>
      <c r="I43" s="39"/>
      <c r="J43" s="30"/>
      <c r="K43" s="31"/>
      <c r="L43" s="39"/>
      <c r="M43" s="30"/>
      <c r="N43" s="31"/>
      <c r="O43" s="33" t="str">
        <f t="shared" si="1"/>
      </c>
      <c r="P43" s="25"/>
      <c r="Q43" s="26"/>
      <c r="R43" s="33" t="str">
        <f t="shared" si="2"/>
      </c>
      <c r="S43" s="25"/>
      <c r="T43" s="26"/>
      <c r="U43" s="37" t="str">
        <f t="shared" si="3"/>
      </c>
      <c r="V43" s="25"/>
      <c r="W43" s="26"/>
      <c r="X43" s="37" t="str">
        <f t="shared" si="4"/>
      </c>
      <c r="Y43" s="25"/>
      <c r="Z43" s="26"/>
      <c r="AA43" s="37" t="str">
        <f t="shared" si="5"/>
      </c>
      <c r="AB43" s="25"/>
      <c r="AC43" s="26"/>
      <c r="AD43" s="24" t="str">
        <f t="shared" si="6"/>
      </c>
      <c r="AE43" s="25"/>
      <c r="AF43" s="25"/>
      <c r="AG43" s="25"/>
      <c r="AH43" s="25"/>
      <c r="AI43" s="26"/>
      <c r="AJ43" s="1"/>
      <c r="AK43" s="18"/>
      <c r="AL43" s="3"/>
      <c r="AM43" s="1"/>
      <c r="AN43" s="1"/>
    </row>
    <row r="44" spans="1:40" ht="22.5" customHeight="1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1"/>
      <c r="U44" s="58">
        <f>SUM(U13:U43)</f>
      </c>
      <c r="V44" s="55"/>
      <c r="W44" s="56"/>
      <c r="X44" s="58">
        <f>SUM(X13:X43)</f>
      </c>
      <c r="Y44" s="55"/>
      <c r="Z44" s="56"/>
      <c r="AA44" s="58">
        <f>SUM(AA13:AA43)</f>
      </c>
      <c r="AB44" s="55"/>
      <c r="AC44" s="56"/>
      <c r="AD44" s="58">
        <f>SUM(AD13:AD43)</f>
      </c>
      <c r="AE44" s="55"/>
      <c r="AF44" s="55"/>
      <c r="AG44" s="55"/>
      <c r="AH44" s="55"/>
      <c r="AI44" s="56"/>
      <c r="AJ44" s="1"/>
      <c r="AK44" s="1"/>
      <c r="AL44" s="3"/>
      <c r="AM44" s="1"/>
      <c r="AN44" s="1"/>
    </row>
    <row r="45" spans="1:40" ht="18" customHeight="1">
      <c r="AD45" s="22"/>
      <c r="AE45" s="22"/>
      <c r="AF45" s="22"/>
      <c r="AG45" s="22"/>
      <c r="AH45" s="22"/>
      <c r="AI45" s="22"/>
    </row>
    <row r="46" spans="1:40" ht="18" customHeight="1">
      <c r="AD46" s="22"/>
      <c r="AE46" s="22"/>
      <c r="AF46" s="22"/>
      <c r="AG46" s="22"/>
      <c r="AH46" s="22"/>
      <c r="AI46" s="22"/>
    </row>
    <row r="47" spans="1:40" ht="18" customHeight="1">
      <c r="AD47" s="22"/>
      <c r="AE47" s="22"/>
      <c r="AF47" s="22"/>
      <c r="AG47" s="22"/>
      <c r="AH47" s="22"/>
      <c r="AI47" s="22"/>
    </row>
    <row r="48" spans="1:40" ht="18" customHeight="1">
      <c r="AD48" s="22"/>
      <c r="AE48" s="22"/>
      <c r="AF48" s="22"/>
      <c r="AG48" s="22"/>
      <c r="AH48" s="22"/>
      <c r="AI48" s="22"/>
    </row>
    <row r="49" spans="30:35" ht="18" customHeight="1">
      <c r="AD49" s="22"/>
      <c r="AE49" s="22"/>
      <c r="AF49" s="22"/>
      <c r="AG49" s="22"/>
      <c r="AH49" s="22"/>
      <c r="AI49" s="22"/>
    </row>
    <row r="50" spans="30:35" ht="18" customHeight="1">
      <c r="AD50" s="22"/>
      <c r="AE50" s="22"/>
      <c r="AF50" s="22"/>
      <c r="AG50" s="22"/>
      <c r="AH50" s="22"/>
      <c r="AI50" s="22"/>
    </row>
    <row r="51" spans="30:35" ht="18" customHeight="1">
      <c r="AD51" s="22"/>
      <c r="AE51" s="22"/>
      <c r="AF51" s="22"/>
      <c r="AG51" s="22"/>
      <c r="AH51" s="22"/>
      <c r="AI51" s="22"/>
    </row>
    <row r="52" spans="30:35" ht="18" customHeight="1">
      <c r="AD52" s="22"/>
      <c r="AE52" s="22"/>
      <c r="AF52" s="22"/>
      <c r="AG52" s="22"/>
      <c r="AH52" s="22"/>
      <c r="AI52" s="22"/>
    </row>
    <row r="53" spans="30:35" ht="18" customHeight="1">
      <c r="AD53" s="22"/>
      <c r="AE53" s="22"/>
      <c r="AF53" s="22"/>
      <c r="AG53" s="22"/>
      <c r="AH53" s="22"/>
      <c r="AI53" s="22"/>
    </row>
    <row r="54" spans="30:35" ht="18" customHeight="1">
      <c r="AD54" s="22"/>
      <c r="AE54" s="22"/>
      <c r="AF54" s="22"/>
      <c r="AG54" s="22"/>
      <c r="AH54" s="22"/>
      <c r="AI54" s="22"/>
    </row>
    <row r="55" spans="30:35" ht="18" customHeight="1">
      <c r="AD55" s="22"/>
      <c r="AE55" s="22"/>
      <c r="AF55" s="22"/>
      <c r="AG55" s="22"/>
      <c r="AH55" s="22"/>
      <c r="AI55" s="22"/>
    </row>
    <row r="56" spans="30:35" ht="18" customHeight="1">
      <c r="AD56" s="22"/>
      <c r="AE56" s="22"/>
      <c r="AF56" s="22"/>
      <c r="AG56" s="22"/>
      <c r="AH56" s="22"/>
      <c r="AI56" s="22"/>
    </row>
    <row r="57" spans="30:35" ht="18" customHeight="1">
      <c r="AD57" s="22"/>
      <c r="AE57" s="22"/>
      <c r="AF57" s="22"/>
      <c r="AG57" s="22"/>
      <c r="AH57" s="22"/>
      <c r="AI57" s="22"/>
    </row>
    <row r="58" spans="30:35" ht="18" customHeight="1">
      <c r="AD58" s="22"/>
      <c r="AE58" s="22"/>
      <c r="AF58" s="22"/>
      <c r="AG58" s="22"/>
      <c r="AH58" s="22"/>
      <c r="AI58" s="22"/>
    </row>
    <row r="59" spans="30:35" ht="18" customHeight="1">
      <c r="AD59" s="22"/>
      <c r="AE59" s="22"/>
      <c r="AF59" s="22"/>
      <c r="AG59" s="22"/>
      <c r="AH59" s="22"/>
      <c r="AI59" s="22"/>
    </row>
    <row r="60" spans="30:35" ht="18" customHeight="1">
      <c r="AD60" s="22"/>
      <c r="AE60" s="22"/>
      <c r="AF60" s="22"/>
      <c r="AG60" s="22"/>
      <c r="AH60" s="22"/>
      <c r="AI60" s="22"/>
    </row>
    <row r="61" spans="30:35" ht="18" customHeight="1">
      <c r="AD61" s="22"/>
      <c r="AE61" s="22"/>
      <c r="AF61" s="22"/>
      <c r="AG61" s="22"/>
      <c r="AH61" s="22"/>
      <c r="AI61" s="22"/>
    </row>
    <row r="62" spans="30:35" ht="18" customHeight="1">
      <c r="AD62" s="22"/>
      <c r="AE62" s="22"/>
      <c r="AF62" s="22"/>
      <c r="AG62" s="22"/>
      <c r="AH62" s="22"/>
      <c r="AI62" s="22"/>
    </row>
    <row r="63" spans="30:35" ht="18" customHeight="1">
      <c r="AD63" s="22"/>
      <c r="AE63" s="22"/>
      <c r="AF63" s="22"/>
      <c r="AG63" s="22"/>
      <c r="AH63" s="22"/>
      <c r="AI63" s="22"/>
    </row>
    <row r="64" spans="30:35" ht="18" customHeight="1">
      <c r="AD64" s="22"/>
      <c r="AE64" s="22"/>
      <c r="AF64" s="22"/>
      <c r="AG64" s="22"/>
      <c r="AH64" s="22"/>
      <c r="AI64" s="22"/>
    </row>
    <row r="65" spans="30:35" ht="18" customHeight="1">
      <c r="AD65" s="22"/>
      <c r="AE65" s="22"/>
      <c r="AF65" s="22"/>
      <c r="AG65" s="22"/>
      <c r="AH65" s="22"/>
      <c r="AI65" s="22"/>
    </row>
    <row r="66" spans="30:35" ht="18" customHeight="1">
      <c r="AD66" s="22"/>
      <c r="AE66" s="22"/>
      <c r="AF66" s="22"/>
      <c r="AG66" s="22"/>
      <c r="AH66" s="22"/>
      <c r="AI66" s="22"/>
    </row>
    <row r="67" spans="30:35" ht="18" customHeight="1">
      <c r="AD67" s="22"/>
      <c r="AE67" s="22"/>
      <c r="AF67" s="22"/>
      <c r="AG67" s="22"/>
      <c r="AH67" s="22"/>
      <c r="AI67" s="22"/>
    </row>
    <row r="68" spans="30:35" ht="18" customHeight="1">
      <c r="AD68" s="22"/>
      <c r="AE68" s="22"/>
      <c r="AF68" s="22"/>
      <c r="AG68" s="22"/>
      <c r="AH68" s="22"/>
      <c r="AI68" s="22"/>
    </row>
    <row r="69" spans="30:35" ht="18" customHeight="1">
      <c r="AD69" s="22"/>
      <c r="AE69" s="22"/>
      <c r="AF69" s="22"/>
      <c r="AG69" s="22"/>
      <c r="AH69" s="22"/>
      <c r="AI69" s="22"/>
    </row>
    <row r="70" spans="30:35" ht="18" customHeight="1">
      <c r="AD70" s="22"/>
      <c r="AE70" s="22"/>
      <c r="AF70" s="22"/>
      <c r="AG70" s="22"/>
      <c r="AH70" s="22"/>
      <c r="AI70" s="22"/>
    </row>
    <row r="71" spans="30:35" ht="18" customHeight="1">
      <c r="AD71" s="22"/>
      <c r="AE71" s="22"/>
      <c r="AF71" s="22"/>
      <c r="AG71" s="22"/>
      <c r="AH71" s="22"/>
      <c r="AI71" s="22"/>
    </row>
    <row r="72" spans="30:35" ht="18" customHeight="1">
      <c r="AD72" s="22"/>
      <c r="AE72" s="22"/>
      <c r="AF72" s="22"/>
      <c r="AG72" s="22"/>
      <c r="AH72" s="22"/>
      <c r="AI72" s="22"/>
    </row>
    <row r="73" spans="30:35" ht="18" customHeight="1">
      <c r="AD73" s="22"/>
      <c r="AE73" s="22"/>
      <c r="AF73" s="22"/>
      <c r="AG73" s="22"/>
      <c r="AH73" s="22"/>
      <c r="AI73" s="22"/>
    </row>
    <row r="74" spans="30:35" ht="18" customHeight="1">
      <c r="AD74" s="22"/>
      <c r="AE74" s="22"/>
      <c r="AF74" s="22"/>
      <c r="AG74" s="22"/>
      <c r="AH74" s="22"/>
      <c r="AI74" s="22"/>
    </row>
    <row r="75" spans="30:35" ht="18" customHeight="1">
      <c r="AD75" s="22"/>
      <c r="AE75" s="22"/>
      <c r="AF75" s="22"/>
      <c r="AG75" s="22"/>
      <c r="AH75" s="22"/>
      <c r="AI75" s="22"/>
    </row>
    <row r="76" spans="30:35" ht="18" customHeight="1">
      <c r="AD76" s="22"/>
      <c r="AE76" s="22"/>
      <c r="AF76" s="22"/>
      <c r="AG76" s="22"/>
      <c r="AH76" s="22"/>
      <c r="AI76" s="22"/>
    </row>
    <row r="77" spans="30:35" ht="18" customHeight="1">
      <c r="AD77" s="22"/>
      <c r="AE77" s="22"/>
      <c r="AF77" s="22"/>
      <c r="AG77" s="22"/>
      <c r="AH77" s="22"/>
      <c r="AI77" s="22"/>
    </row>
    <row r="78" spans="30:35" ht="18" customHeight="1">
      <c r="AD78" s="22"/>
      <c r="AE78" s="22"/>
      <c r="AF78" s="22"/>
      <c r="AG78" s="22"/>
      <c r="AH78" s="22"/>
      <c r="AI78" s="22"/>
    </row>
    <row r="79" spans="30:35" ht="18" customHeight="1">
      <c r="AD79" s="22"/>
      <c r="AE79" s="22"/>
      <c r="AF79" s="22"/>
      <c r="AG79" s="22"/>
      <c r="AH79" s="22"/>
      <c r="AI79" s="22"/>
    </row>
    <row r="80" spans="30:35" ht="18" customHeight="1">
      <c r="AD80" s="22"/>
      <c r="AE80" s="22"/>
      <c r="AF80" s="22"/>
      <c r="AG80" s="22"/>
      <c r="AH80" s="22"/>
      <c r="AI80" s="22"/>
    </row>
    <row r="81" spans="30:35" ht="18" customHeight="1">
      <c r="AD81" s="22"/>
      <c r="AE81" s="22"/>
      <c r="AF81" s="22"/>
      <c r="AG81" s="22"/>
      <c r="AH81" s="22"/>
      <c r="AI81" s="22"/>
    </row>
    <row r="82" spans="30:35" ht="18" customHeight="1">
      <c r="AD82" s="22"/>
      <c r="AE82" s="22"/>
      <c r="AF82" s="22"/>
      <c r="AG82" s="22"/>
      <c r="AH82" s="22"/>
      <c r="AI82" s="22"/>
    </row>
    <row r="83" spans="30:35" ht="18" customHeight="1">
      <c r="AD83" s="22"/>
      <c r="AE83" s="22"/>
      <c r="AF83" s="22"/>
      <c r="AG83" s="22"/>
      <c r="AH83" s="22"/>
      <c r="AI83" s="22"/>
    </row>
    <row r="84" spans="30:35" ht="18" customHeight="1">
      <c r="AD84" s="22"/>
      <c r="AE84" s="22"/>
      <c r="AF84" s="22"/>
      <c r="AG84" s="22"/>
      <c r="AH84" s="22"/>
      <c r="AI84" s="22"/>
    </row>
    <row r="85" spans="30:35" ht="18" customHeight="1">
      <c r="AD85" s="22"/>
      <c r="AE85" s="22"/>
      <c r="AF85" s="22"/>
      <c r="AG85" s="22"/>
      <c r="AH85" s="22"/>
      <c r="AI85" s="22"/>
    </row>
    <row r="86" spans="30:35" ht="18" customHeight="1">
      <c r="AD86" s="22"/>
      <c r="AE86" s="22"/>
      <c r="AF86" s="22"/>
      <c r="AG86" s="22"/>
      <c r="AH86" s="22"/>
      <c r="AI86" s="22"/>
    </row>
    <row r="87" spans="30:35" ht="18" customHeight="1">
      <c r="AD87" s="22"/>
      <c r="AE87" s="22"/>
      <c r="AF87" s="22"/>
      <c r="AG87" s="22"/>
      <c r="AH87" s="22"/>
      <c r="AI87" s="22"/>
    </row>
    <row r="88" spans="30:35" ht="18" customHeight="1">
      <c r="AD88" s="22"/>
      <c r="AE88" s="22"/>
      <c r="AF88" s="22"/>
      <c r="AG88" s="22"/>
      <c r="AH88" s="22"/>
      <c r="AI88" s="22"/>
    </row>
    <row r="89" spans="30:35" ht="18" customHeight="1">
      <c r="AD89" s="22"/>
      <c r="AE89" s="22"/>
      <c r="AF89" s="22"/>
      <c r="AG89" s="22"/>
      <c r="AH89" s="22"/>
      <c r="AI89" s="22"/>
    </row>
    <row r="90" spans="30:35" ht="18" customHeight="1">
      <c r="AD90" s="22"/>
      <c r="AE90" s="22"/>
      <c r="AF90" s="22"/>
      <c r="AG90" s="22"/>
      <c r="AH90" s="22"/>
      <c r="AI90" s="22"/>
    </row>
    <row r="91" spans="30:35" ht="18" customHeight="1">
      <c r="AD91" s="22"/>
      <c r="AE91" s="22"/>
      <c r="AF91" s="22"/>
      <c r="AG91" s="22"/>
      <c r="AH91" s="22"/>
      <c r="AI91" s="22"/>
    </row>
    <row r="92" spans="30:35" ht="18" customHeight="1">
      <c r="AD92" s="22"/>
      <c r="AE92" s="22"/>
      <c r="AF92" s="22"/>
      <c r="AG92" s="22"/>
      <c r="AH92" s="22"/>
      <c r="AI92" s="22"/>
    </row>
    <row r="93" spans="30:35" ht="18" customHeight="1">
      <c r="AD93" s="22"/>
      <c r="AE93" s="22"/>
      <c r="AF93" s="22"/>
      <c r="AG93" s="22"/>
      <c r="AH93" s="22"/>
      <c r="AI93" s="22"/>
    </row>
    <row r="94" spans="30:35" ht="18" customHeight="1">
      <c r="AD94" s="22"/>
      <c r="AE94" s="22"/>
      <c r="AF94" s="22"/>
      <c r="AG94" s="22"/>
      <c r="AH94" s="22"/>
      <c r="AI94" s="22"/>
    </row>
    <row r="95" spans="30:35" ht="18" customHeight="1">
      <c r="AD95" s="22"/>
      <c r="AE95" s="22"/>
      <c r="AF95" s="22"/>
      <c r="AG95" s="22"/>
      <c r="AH95" s="22"/>
      <c r="AI95" s="22"/>
    </row>
    <row r="96" spans="30:35" ht="18" customHeight="1">
      <c r="AD96" s="22"/>
      <c r="AE96" s="22"/>
      <c r="AF96" s="22"/>
      <c r="AG96" s="22"/>
      <c r="AH96" s="22"/>
      <c r="AI96" s="22"/>
    </row>
    <row r="97" spans="30:35" ht="18" customHeight="1">
      <c r="AD97" s="22"/>
      <c r="AE97" s="22"/>
      <c r="AF97" s="22"/>
      <c r="AG97" s="22"/>
      <c r="AH97" s="22"/>
      <c r="AI97" s="22"/>
    </row>
    <row r="98" spans="30:35" ht="18" customHeight="1">
      <c r="AD98" s="22"/>
      <c r="AE98" s="22"/>
      <c r="AF98" s="22"/>
      <c r="AG98" s="22"/>
      <c r="AH98" s="22"/>
      <c r="AI98" s="22"/>
    </row>
    <row r="99" spans="30:35" ht="18" customHeight="1">
      <c r="AD99" s="22"/>
      <c r="AE99" s="22"/>
      <c r="AF99" s="22"/>
      <c r="AG99" s="22"/>
      <c r="AH99" s="22"/>
      <c r="AI99" s="22"/>
    </row>
    <row r="100" spans="30:35" ht="18" customHeight="1">
      <c r="AD100" s="22"/>
      <c r="AE100" s="22"/>
      <c r="AF100" s="22"/>
      <c r="AG100" s="22"/>
      <c r="AH100" s="22"/>
      <c r="AI100" s="22"/>
    </row>
    <row r="101" spans="30:35" ht="18" customHeight="1">
      <c r="AD101" s="22"/>
      <c r="AE101" s="22"/>
      <c r="AF101" s="22"/>
      <c r="AG101" s="22"/>
      <c r="AH101" s="22"/>
      <c r="AI101" s="22"/>
    </row>
    <row r="102" spans="30:35" ht="18" customHeight="1">
      <c r="AD102" s="22"/>
      <c r="AE102" s="22"/>
      <c r="AF102" s="22"/>
      <c r="AG102" s="22"/>
      <c r="AH102" s="22"/>
      <c r="AI102" s="22"/>
    </row>
    <row r="103" spans="30:35" ht="18" customHeight="1">
      <c r="AD103" s="22"/>
      <c r="AE103" s="22"/>
      <c r="AF103" s="22"/>
      <c r="AG103" s="22"/>
      <c r="AH103" s="22"/>
      <c r="AI103" s="22"/>
    </row>
    <row r="104" spans="30:35" ht="18" customHeight="1">
      <c r="AD104" s="22"/>
      <c r="AE104" s="22"/>
      <c r="AF104" s="22"/>
      <c r="AG104" s="22"/>
      <c r="AH104" s="22"/>
      <c r="AI104" s="22"/>
    </row>
    <row r="105" spans="30:35" ht="18" customHeight="1">
      <c r="AD105" s="22"/>
      <c r="AE105" s="22"/>
      <c r="AF105" s="22"/>
      <c r="AG105" s="22"/>
      <c r="AH105" s="22"/>
      <c r="AI105" s="22"/>
    </row>
    <row r="106" spans="30:35" ht="18" customHeight="1">
      <c r="AD106" s="22"/>
      <c r="AE106" s="22"/>
      <c r="AF106" s="22"/>
      <c r="AG106" s="22"/>
      <c r="AH106" s="22"/>
      <c r="AI106" s="22"/>
    </row>
    <row r="107" spans="30:35" ht="18" customHeight="1">
      <c r="AD107" s="22"/>
      <c r="AE107" s="22"/>
      <c r="AF107" s="22"/>
      <c r="AG107" s="22"/>
      <c r="AH107" s="22"/>
      <c r="AI107" s="22"/>
    </row>
    <row r="108" spans="30:35" ht="18" customHeight="1">
      <c r="AD108" s="22"/>
      <c r="AE108" s="22"/>
      <c r="AF108" s="22"/>
      <c r="AG108" s="22"/>
      <c r="AH108" s="22"/>
      <c r="AI108" s="22"/>
    </row>
    <row r="109" spans="30:35" ht="18" customHeight="1">
      <c r="AD109" s="22"/>
      <c r="AE109" s="22"/>
      <c r="AF109" s="22"/>
      <c r="AG109" s="22"/>
      <c r="AH109" s="22"/>
      <c r="AI109" s="22"/>
    </row>
    <row r="110" spans="30:35" ht="18" customHeight="1">
      <c r="AD110" s="22"/>
      <c r="AE110" s="22"/>
      <c r="AF110" s="22"/>
      <c r="AG110" s="22"/>
      <c r="AH110" s="22"/>
      <c r="AI110" s="22"/>
    </row>
    <row r="111" spans="30:35" ht="18" customHeight="1">
      <c r="AD111" s="22"/>
      <c r="AE111" s="22"/>
      <c r="AF111" s="22"/>
      <c r="AG111" s="22"/>
      <c r="AH111" s="22"/>
      <c r="AI111" s="22"/>
    </row>
    <row r="112" spans="30:35" ht="18" customHeight="1">
      <c r="AD112" s="22"/>
      <c r="AE112" s="22"/>
      <c r="AF112" s="22"/>
      <c r="AG112" s="22"/>
      <c r="AH112" s="22"/>
      <c r="AI112" s="22"/>
    </row>
    <row r="113" spans="30:35" ht="18" customHeight="1">
      <c r="AD113" s="22"/>
      <c r="AE113" s="22"/>
      <c r="AF113" s="22"/>
      <c r="AG113" s="22"/>
      <c r="AH113" s="22"/>
      <c r="AI113" s="22"/>
    </row>
    <row r="114" spans="30:35" ht="18" customHeight="1">
      <c r="AD114" s="22"/>
      <c r="AE114" s="22"/>
      <c r="AF114" s="22"/>
      <c r="AG114" s="22"/>
      <c r="AH114" s="22"/>
      <c r="AI114" s="22"/>
    </row>
    <row r="115" spans="30:35" ht="18" customHeight="1">
      <c r="AD115" s="22"/>
      <c r="AE115" s="22"/>
      <c r="AF115" s="22"/>
      <c r="AG115" s="22"/>
      <c r="AH115" s="22"/>
      <c r="AI115" s="22"/>
    </row>
    <row r="116" spans="30:35" ht="18" customHeight="1">
      <c r="AD116" s="22"/>
      <c r="AE116" s="22"/>
      <c r="AF116" s="22"/>
      <c r="AG116" s="22"/>
      <c r="AH116" s="22"/>
      <c r="AI116" s="22"/>
    </row>
    <row r="117" spans="30:35" ht="18" customHeight="1">
      <c r="AD117" s="22"/>
      <c r="AE117" s="22"/>
      <c r="AF117" s="22"/>
      <c r="AG117" s="22"/>
      <c r="AH117" s="22"/>
      <c r="AI117" s="22"/>
    </row>
    <row r="118" spans="30:35" ht="18" customHeight="1">
      <c r="AD118" s="22"/>
      <c r="AE118" s="22"/>
      <c r="AF118" s="22"/>
      <c r="AG118" s="22"/>
      <c r="AH118" s="22"/>
      <c r="AI118" s="22"/>
    </row>
    <row r="119" spans="30:35" ht="18" customHeight="1">
      <c r="AD119" s="22"/>
      <c r="AE119" s="22"/>
      <c r="AF119" s="22"/>
      <c r="AG119" s="22"/>
      <c r="AH119" s="22"/>
      <c r="AI119" s="22"/>
    </row>
    <row r="120" spans="30:35" ht="18" customHeight="1">
      <c r="AD120" s="22"/>
      <c r="AE120" s="22"/>
      <c r="AF120" s="22"/>
      <c r="AG120" s="22"/>
      <c r="AH120" s="22"/>
      <c r="AI120" s="22"/>
    </row>
    <row r="121" spans="30:35" ht="18" customHeight="1">
      <c r="AD121" s="22"/>
      <c r="AE121" s="22"/>
      <c r="AF121" s="22"/>
      <c r="AG121" s="22"/>
      <c r="AH121" s="22"/>
      <c r="AI121" s="22"/>
    </row>
    <row r="122" spans="30:35" ht="18" customHeight="1">
      <c r="AD122" s="22"/>
      <c r="AE122" s="22"/>
      <c r="AF122" s="22"/>
      <c r="AG122" s="22"/>
      <c r="AH122" s="22"/>
      <c r="AI122" s="22"/>
    </row>
    <row r="123" spans="30:35" ht="18" customHeight="1">
      <c r="AD123" s="22"/>
      <c r="AE123" s="22"/>
      <c r="AF123" s="22"/>
      <c r="AG123" s="22"/>
      <c r="AH123" s="22"/>
      <c r="AI123" s="22"/>
    </row>
    <row r="124" spans="30:35" ht="18" customHeight="1">
      <c r="AD124" s="22"/>
      <c r="AE124" s="22"/>
      <c r="AF124" s="22"/>
      <c r="AG124" s="22"/>
      <c r="AH124" s="22"/>
      <c r="AI124" s="22"/>
    </row>
    <row r="125" spans="30:35" ht="18" customHeight="1">
      <c r="AD125" s="22"/>
      <c r="AE125" s="22"/>
      <c r="AF125" s="22"/>
      <c r="AG125" s="22"/>
      <c r="AH125" s="22"/>
      <c r="AI125" s="22"/>
    </row>
    <row r="126" spans="30:35" ht="18" customHeight="1">
      <c r="AD126" s="22"/>
      <c r="AE126" s="22"/>
      <c r="AF126" s="22"/>
      <c r="AG126" s="22"/>
      <c r="AH126" s="22"/>
      <c r="AI126" s="22"/>
    </row>
    <row r="127" spans="30:35" ht="18" customHeight="1">
      <c r="AD127" s="22"/>
      <c r="AE127" s="22"/>
      <c r="AF127" s="22"/>
      <c r="AG127" s="22"/>
      <c r="AH127" s="22"/>
      <c r="AI127" s="22"/>
    </row>
    <row r="128" spans="30:35" ht="18" customHeight="1">
      <c r="AD128" s="22"/>
      <c r="AE128" s="22"/>
      <c r="AF128" s="22"/>
      <c r="AG128" s="22"/>
      <c r="AH128" s="22"/>
      <c r="AI128" s="22"/>
    </row>
    <row r="129" spans="30:35" ht="18" customHeight="1">
      <c r="AD129" s="22"/>
      <c r="AE129" s="22"/>
      <c r="AF129" s="22"/>
      <c r="AG129" s="22"/>
      <c r="AH129" s="22"/>
      <c r="AI129" s="22"/>
    </row>
    <row r="130" spans="30:35" ht="18" customHeight="1">
      <c r="AD130" s="22"/>
      <c r="AE130" s="22"/>
      <c r="AF130" s="22"/>
      <c r="AG130" s="22"/>
      <c r="AH130" s="22"/>
      <c r="AI130" s="22"/>
    </row>
    <row r="131" spans="30:35" ht="18" customHeight="1">
      <c r="AD131" s="22"/>
      <c r="AE131" s="22"/>
      <c r="AF131" s="22"/>
      <c r="AG131" s="22"/>
      <c r="AH131" s="22"/>
      <c r="AI131" s="22"/>
    </row>
    <row r="132" spans="30:35" ht="18" customHeight="1">
      <c r="AD132" s="22"/>
      <c r="AE132" s="22"/>
      <c r="AF132" s="22"/>
      <c r="AG132" s="22"/>
      <c r="AH132" s="22"/>
      <c r="AI132" s="22"/>
    </row>
    <row r="133" spans="30:35" ht="18" customHeight="1">
      <c r="AD133" s="22"/>
      <c r="AE133" s="22"/>
      <c r="AF133" s="22"/>
      <c r="AG133" s="22"/>
      <c r="AH133" s="22"/>
      <c r="AI133" s="22"/>
    </row>
    <row r="134" spans="30:35" ht="18" customHeight="1">
      <c r="AD134" s="22"/>
      <c r="AE134" s="22"/>
      <c r="AF134" s="22"/>
      <c r="AG134" s="22"/>
      <c r="AH134" s="22"/>
      <c r="AI134" s="22"/>
    </row>
    <row r="135" spans="30:35" ht="18" customHeight="1">
      <c r="AD135" s="22"/>
      <c r="AE135" s="22"/>
      <c r="AF135" s="22"/>
      <c r="AG135" s="22"/>
      <c r="AH135" s="22"/>
      <c r="AI135" s="22"/>
    </row>
    <row r="136" spans="30:35" ht="18" customHeight="1">
      <c r="AD136" s="22"/>
      <c r="AE136" s="22"/>
      <c r="AF136" s="22"/>
      <c r="AG136" s="22"/>
      <c r="AH136" s="22"/>
      <c r="AI136" s="22"/>
    </row>
    <row r="137" spans="30:35" ht="18" customHeight="1">
      <c r="AD137" s="22"/>
      <c r="AE137" s="22"/>
      <c r="AF137" s="22"/>
      <c r="AG137" s="22"/>
      <c r="AH137" s="22"/>
      <c r="AI137" s="22"/>
    </row>
    <row r="138" spans="30:35" ht="18" customHeight="1">
      <c r="AD138" s="22"/>
      <c r="AE138" s="22"/>
      <c r="AF138" s="22"/>
      <c r="AG138" s="22"/>
      <c r="AH138" s="22"/>
      <c r="AI138" s="22"/>
    </row>
    <row r="139" spans="30:35" ht="18" customHeight="1">
      <c r="AD139" s="22"/>
      <c r="AE139" s="22"/>
      <c r="AF139" s="22"/>
      <c r="AG139" s="22"/>
      <c r="AH139" s="22"/>
      <c r="AI139" s="22"/>
    </row>
    <row r="140" spans="30:35" ht="18" customHeight="1">
      <c r="AD140" s="22"/>
      <c r="AE140" s="22"/>
      <c r="AF140" s="22"/>
      <c r="AG140" s="22"/>
      <c r="AH140" s="22"/>
      <c r="AI140" s="22"/>
    </row>
    <row r="141" spans="30:35" ht="18" customHeight="1">
      <c r="AD141" s="22"/>
      <c r="AE141" s="22"/>
      <c r="AF141" s="22"/>
      <c r="AG141" s="22"/>
      <c r="AH141" s="22"/>
      <c r="AI141" s="22"/>
    </row>
    <row r="142" spans="30:35" ht="18" customHeight="1">
      <c r="AD142" s="22"/>
      <c r="AE142" s="22"/>
      <c r="AF142" s="22"/>
      <c r="AG142" s="22"/>
      <c r="AH142" s="22"/>
      <c r="AI142" s="22"/>
    </row>
    <row r="143" spans="30:35" ht="18" customHeight="1">
      <c r="AD143" s="22"/>
      <c r="AE143" s="22"/>
      <c r="AF143" s="22"/>
      <c r="AG143" s="22"/>
      <c r="AH143" s="22"/>
      <c r="AI143" s="22"/>
    </row>
    <row r="144" spans="30:35" ht="18" customHeight="1">
      <c r="AD144" s="22"/>
      <c r="AE144" s="22"/>
      <c r="AF144" s="22"/>
      <c r="AG144" s="22"/>
      <c r="AH144" s="22"/>
      <c r="AI144" s="22"/>
    </row>
    <row r="145" spans="30:35" ht="18" customHeight="1">
      <c r="AD145" s="22"/>
      <c r="AE145" s="22"/>
      <c r="AF145" s="22"/>
      <c r="AG145" s="22"/>
      <c r="AH145" s="22"/>
      <c r="AI145" s="22"/>
    </row>
    <row r="146" spans="30:35" ht="18" customHeight="1">
      <c r="AD146" s="22"/>
      <c r="AE146" s="22"/>
      <c r="AF146" s="22"/>
      <c r="AG146" s="22"/>
      <c r="AH146" s="22"/>
      <c r="AI146" s="22"/>
    </row>
    <row r="147" spans="30:35" ht="18" customHeight="1">
      <c r="AD147" s="22"/>
      <c r="AE147" s="22"/>
      <c r="AF147" s="22"/>
      <c r="AG147" s="22"/>
      <c r="AH147" s="22"/>
      <c r="AI147" s="22"/>
    </row>
    <row r="148" spans="30:35" ht="18" customHeight="1">
      <c r="AD148" s="22"/>
      <c r="AE148" s="22"/>
      <c r="AF148" s="22"/>
      <c r="AG148" s="22"/>
      <c r="AH148" s="22"/>
      <c r="AI148" s="22"/>
    </row>
    <row r="149" spans="30:35" ht="18" customHeight="1">
      <c r="AD149" s="22"/>
      <c r="AE149" s="22"/>
      <c r="AF149" s="22"/>
      <c r="AG149" s="22"/>
      <c r="AH149" s="22"/>
      <c r="AI149" s="22"/>
    </row>
    <row r="150" spans="30:35" ht="18" customHeight="1">
      <c r="AD150" s="22"/>
      <c r="AE150" s="22"/>
      <c r="AF150" s="22"/>
      <c r="AG150" s="22"/>
      <c r="AH150" s="22"/>
      <c r="AI150" s="22"/>
    </row>
    <row r="151" spans="30:35" ht="18" customHeight="1">
      <c r="AD151" s="22"/>
      <c r="AE151" s="22"/>
      <c r="AF151" s="22"/>
      <c r="AG151" s="22"/>
      <c r="AH151" s="22"/>
      <c r="AI151" s="22"/>
    </row>
    <row r="152" spans="30:35" ht="18" customHeight="1">
      <c r="AD152" s="22"/>
      <c r="AE152" s="22"/>
      <c r="AF152" s="22"/>
      <c r="AG152" s="22"/>
      <c r="AH152" s="22"/>
      <c r="AI152" s="22"/>
    </row>
    <row r="153" spans="30:35" ht="18" customHeight="1">
      <c r="AD153" s="22"/>
      <c r="AE153" s="22"/>
      <c r="AF153" s="22"/>
      <c r="AG153" s="22"/>
      <c r="AH153" s="22"/>
      <c r="AI153" s="22"/>
    </row>
    <row r="154" spans="30:35" ht="18" customHeight="1">
      <c r="AD154" s="22"/>
      <c r="AE154" s="22"/>
      <c r="AF154" s="22"/>
      <c r="AG154" s="22"/>
      <c r="AH154" s="22"/>
      <c r="AI154" s="22"/>
    </row>
    <row r="155" spans="30:35" ht="18" customHeight="1">
      <c r="AD155" s="22"/>
      <c r="AE155" s="22"/>
      <c r="AF155" s="22"/>
      <c r="AG155" s="22"/>
      <c r="AH155" s="22"/>
      <c r="AI155" s="22"/>
    </row>
    <row r="156" spans="30:35" ht="18" customHeight="1">
      <c r="AD156" s="22"/>
      <c r="AE156" s="22"/>
      <c r="AF156" s="22"/>
      <c r="AG156" s="22"/>
      <c r="AH156" s="22"/>
      <c r="AI156" s="22"/>
    </row>
    <row r="157" spans="30:35" ht="18" customHeight="1">
      <c r="AD157" s="22"/>
      <c r="AE157" s="22"/>
      <c r="AF157" s="22"/>
      <c r="AG157" s="22"/>
      <c r="AH157" s="22"/>
      <c r="AI157" s="22"/>
    </row>
    <row r="158" spans="30:35" ht="18" customHeight="1">
      <c r="AD158" s="22"/>
      <c r="AE158" s="22"/>
      <c r="AF158" s="22"/>
      <c r="AG158" s="22"/>
      <c r="AH158" s="22"/>
      <c r="AI158" s="22"/>
    </row>
    <row r="159" spans="30:35" ht="18" customHeight="1">
      <c r="AD159" s="22"/>
      <c r="AE159" s="22"/>
      <c r="AF159" s="22"/>
      <c r="AG159" s="22"/>
      <c r="AH159" s="22"/>
      <c r="AI159" s="22"/>
    </row>
    <row r="160" spans="30:35" ht="18" customHeight="1">
      <c r="AD160" s="22"/>
      <c r="AE160" s="22"/>
      <c r="AF160" s="22"/>
      <c r="AG160" s="22"/>
      <c r="AH160" s="22"/>
      <c r="AI160" s="22"/>
    </row>
    <row r="161" spans="30:35" ht="18" customHeight="1">
      <c r="AD161" s="22"/>
      <c r="AE161" s="22"/>
      <c r="AF161" s="22"/>
      <c r="AG161" s="22"/>
      <c r="AH161" s="22"/>
      <c r="AI161" s="22"/>
    </row>
    <row r="162" spans="30:35" ht="18" customHeight="1">
      <c r="AD162" s="22"/>
      <c r="AE162" s="22"/>
      <c r="AF162" s="22"/>
      <c r="AG162" s="22"/>
      <c r="AH162" s="22"/>
      <c r="AI162" s="22"/>
    </row>
    <row r="163" spans="30:35" ht="18" customHeight="1">
      <c r="AD163" s="22"/>
      <c r="AE163" s="22"/>
      <c r="AF163" s="22"/>
      <c r="AG163" s="22"/>
      <c r="AH163" s="22"/>
      <c r="AI163" s="22"/>
    </row>
    <row r="164" spans="30:35" ht="18" customHeight="1">
      <c r="AD164" s="22"/>
      <c r="AE164" s="22"/>
      <c r="AF164" s="22"/>
      <c r="AG164" s="22"/>
      <c r="AH164" s="22"/>
      <c r="AI164" s="22"/>
    </row>
    <row r="165" spans="30:35" ht="18" customHeight="1">
      <c r="AD165" s="22"/>
      <c r="AE165" s="22"/>
      <c r="AF165" s="22"/>
      <c r="AG165" s="22"/>
      <c r="AH165" s="22"/>
      <c r="AI165" s="22"/>
    </row>
    <row r="166" spans="30:35" ht="18" customHeight="1">
      <c r="AD166" s="22"/>
      <c r="AE166" s="22"/>
      <c r="AF166" s="22"/>
      <c r="AG166" s="22"/>
      <c r="AH166" s="22"/>
      <c r="AI166" s="22"/>
    </row>
    <row r="167" spans="30:35" ht="18" customHeight="1">
      <c r="AD167" s="22"/>
      <c r="AE167" s="22"/>
      <c r="AF167" s="22"/>
      <c r="AG167" s="22"/>
      <c r="AH167" s="22"/>
      <c r="AI167" s="22"/>
    </row>
    <row r="168" spans="30:35" ht="18" customHeight="1">
      <c r="AD168" s="22"/>
      <c r="AE168" s="22"/>
      <c r="AF168" s="22"/>
      <c r="AG168" s="22"/>
      <c r="AH168" s="22"/>
      <c r="AI168" s="22"/>
    </row>
    <row r="169" spans="30:35" ht="18" customHeight="1">
      <c r="AD169" s="22"/>
      <c r="AE169" s="22"/>
      <c r="AF169" s="22"/>
      <c r="AG169" s="22"/>
      <c r="AH169" s="22"/>
      <c r="AI169" s="22"/>
    </row>
    <row r="170" spans="30:35" ht="18" customHeight="1">
      <c r="AD170" s="22"/>
      <c r="AE170" s="22"/>
      <c r="AF170" s="22"/>
      <c r="AG170" s="22"/>
      <c r="AH170" s="22"/>
      <c r="AI170" s="22"/>
    </row>
    <row r="171" spans="30:35" ht="18" customHeight="1">
      <c r="AD171" s="22"/>
      <c r="AE171" s="22"/>
      <c r="AF171" s="22"/>
      <c r="AG171" s="22"/>
      <c r="AH171" s="22"/>
      <c r="AI171" s="22"/>
    </row>
    <row r="172" spans="30:35" ht="18" customHeight="1">
      <c r="AD172" s="22"/>
      <c r="AE172" s="22"/>
      <c r="AF172" s="22"/>
      <c r="AG172" s="22"/>
      <c r="AH172" s="22"/>
      <c r="AI172" s="22"/>
    </row>
    <row r="173" spans="30:35" ht="18" customHeight="1">
      <c r="AD173" s="22"/>
      <c r="AE173" s="22"/>
      <c r="AF173" s="22"/>
      <c r="AG173" s="22"/>
      <c r="AH173" s="22"/>
      <c r="AI173" s="22"/>
    </row>
    <row r="174" spans="30:35" ht="18" customHeight="1">
      <c r="AD174" s="22"/>
      <c r="AE174" s="22"/>
      <c r="AF174" s="22"/>
      <c r="AG174" s="22"/>
      <c r="AH174" s="22"/>
      <c r="AI174" s="22"/>
    </row>
    <row r="175" spans="30:35" ht="18" customHeight="1">
      <c r="AD175" s="22"/>
      <c r="AE175" s="22"/>
      <c r="AF175" s="22"/>
      <c r="AG175" s="22"/>
      <c r="AH175" s="22"/>
      <c r="AI175" s="22"/>
    </row>
    <row r="176" spans="30:35" ht="18" customHeight="1">
      <c r="AD176" s="22"/>
      <c r="AE176" s="22"/>
      <c r="AF176" s="22"/>
      <c r="AG176" s="22"/>
      <c r="AH176" s="22"/>
      <c r="AI176" s="22"/>
    </row>
    <row r="177" spans="30:35" ht="18" customHeight="1">
      <c r="AD177" s="22"/>
      <c r="AE177" s="22"/>
      <c r="AF177" s="22"/>
      <c r="AG177" s="22"/>
      <c r="AH177" s="22"/>
      <c r="AI177" s="22"/>
    </row>
    <row r="178" spans="30:35" ht="18" customHeight="1">
      <c r="AD178" s="22"/>
      <c r="AE178" s="22"/>
      <c r="AF178" s="22"/>
      <c r="AG178" s="22"/>
      <c r="AH178" s="22"/>
      <c r="AI178" s="22"/>
    </row>
    <row r="179" spans="30:35" ht="18" customHeight="1">
      <c r="AD179" s="22"/>
      <c r="AE179" s="22"/>
      <c r="AF179" s="22"/>
      <c r="AG179" s="22"/>
      <c r="AH179" s="22"/>
      <c r="AI179" s="22"/>
    </row>
    <row r="180" spans="30:35" ht="18" customHeight="1">
      <c r="AD180" s="22"/>
      <c r="AE180" s="22"/>
      <c r="AF180" s="22"/>
      <c r="AG180" s="22"/>
      <c r="AH180" s="22"/>
      <c r="AI180" s="22"/>
    </row>
    <row r="181" spans="30:35" ht="18" customHeight="1">
      <c r="AD181" s="22"/>
      <c r="AE181" s="22"/>
      <c r="AF181" s="22"/>
      <c r="AG181" s="22"/>
      <c r="AH181" s="22"/>
      <c r="AI181" s="22"/>
    </row>
    <row r="182" spans="30:35" ht="18" customHeight="1">
      <c r="AD182" s="22"/>
      <c r="AE182" s="22"/>
      <c r="AF182" s="22"/>
      <c r="AG182" s="22"/>
      <c r="AH182" s="22"/>
      <c r="AI182" s="22"/>
    </row>
    <row r="183" spans="30:35" ht="18" customHeight="1">
      <c r="AD183" s="22"/>
      <c r="AE183" s="22"/>
      <c r="AF183" s="22"/>
      <c r="AG183" s="22"/>
      <c r="AH183" s="22"/>
      <c r="AI183" s="22"/>
    </row>
    <row r="184" spans="30:35" ht="18" customHeight="1">
      <c r="AD184" s="22"/>
      <c r="AE184" s="22"/>
      <c r="AF184" s="22"/>
      <c r="AG184" s="22"/>
      <c r="AH184" s="22"/>
      <c r="AI184" s="22"/>
    </row>
    <row r="185" spans="30:35" ht="18" customHeight="1">
      <c r="AD185" s="22"/>
      <c r="AE185" s="22"/>
      <c r="AF185" s="22"/>
      <c r="AG185" s="22"/>
      <c r="AH185" s="22"/>
      <c r="AI185" s="22"/>
    </row>
    <row r="186" spans="30:35" ht="18" customHeight="1">
      <c r="AD186" s="22"/>
      <c r="AE186" s="22"/>
      <c r="AF186" s="22"/>
      <c r="AG186" s="22"/>
      <c r="AH186" s="22"/>
      <c r="AI186" s="22"/>
    </row>
    <row r="187" spans="30:35" ht="18" customHeight="1">
      <c r="AD187" s="22"/>
      <c r="AE187" s="22"/>
      <c r="AF187" s="22"/>
      <c r="AG187" s="22"/>
      <c r="AH187" s="22"/>
      <c r="AI187" s="22"/>
    </row>
    <row r="188" spans="30:35" ht="18" customHeight="1">
      <c r="AD188" s="22"/>
      <c r="AE188" s="22"/>
      <c r="AF188" s="22"/>
      <c r="AG188" s="22"/>
      <c r="AH188" s="22"/>
      <c r="AI188" s="22"/>
    </row>
    <row r="189" spans="30:35" ht="18" customHeight="1">
      <c r="AD189" s="22"/>
      <c r="AE189" s="22"/>
      <c r="AF189" s="22"/>
      <c r="AG189" s="22"/>
      <c r="AH189" s="22"/>
      <c r="AI189" s="22"/>
    </row>
    <row r="190" spans="30:35" ht="18" customHeight="1">
      <c r="AD190" s="22"/>
      <c r="AE190" s="22"/>
      <c r="AF190" s="22"/>
      <c r="AG190" s="22"/>
      <c r="AH190" s="22"/>
      <c r="AI190" s="22"/>
    </row>
    <row r="191" spans="30:35" ht="18" customHeight="1">
      <c r="AD191" s="22"/>
      <c r="AE191" s="22"/>
      <c r="AF191" s="22"/>
      <c r="AG191" s="22"/>
      <c r="AH191" s="22"/>
      <c r="AI191" s="22"/>
    </row>
    <row r="192" spans="30:35" ht="18" customHeight="1">
      <c r="AD192" s="22"/>
      <c r="AE192" s="22"/>
      <c r="AF192" s="22"/>
      <c r="AG192" s="22"/>
      <c r="AH192" s="22"/>
      <c r="AI192" s="22"/>
    </row>
    <row r="193" spans="30:35" ht="18" customHeight="1">
      <c r="AD193" s="22"/>
      <c r="AE193" s="22"/>
      <c r="AF193" s="22"/>
      <c r="AG193" s="22"/>
      <c r="AH193" s="22"/>
      <c r="AI193" s="22"/>
    </row>
    <row r="194" spans="30:35" ht="18" customHeight="1">
      <c r="AD194" s="22"/>
      <c r="AE194" s="22"/>
      <c r="AF194" s="22"/>
      <c r="AG194" s="22"/>
      <c r="AH194" s="22"/>
      <c r="AI194" s="22"/>
    </row>
    <row r="195" spans="30:35" ht="18" customHeight="1">
      <c r="AD195" s="22"/>
      <c r="AE195" s="22"/>
      <c r="AF195" s="22"/>
      <c r="AG195" s="22"/>
      <c r="AH195" s="22"/>
      <c r="AI195" s="22"/>
    </row>
    <row r="196" spans="30:35" ht="18" customHeight="1">
      <c r="AD196" s="22"/>
      <c r="AE196" s="22"/>
      <c r="AF196" s="22"/>
      <c r="AG196" s="22"/>
      <c r="AH196" s="22"/>
      <c r="AI196" s="22"/>
    </row>
    <row r="197" spans="30:35" ht="18" customHeight="1">
      <c r="AD197" s="22"/>
      <c r="AE197" s="22"/>
      <c r="AF197" s="22"/>
      <c r="AG197" s="22"/>
      <c r="AH197" s="22"/>
      <c r="AI197" s="22"/>
    </row>
    <row r="198" spans="30:35" ht="18" customHeight="1">
      <c r="AD198" s="22"/>
      <c r="AE198" s="22"/>
      <c r="AF198" s="22"/>
      <c r="AG198" s="22"/>
      <c r="AH198" s="22"/>
      <c r="AI198" s="22"/>
    </row>
    <row r="199" spans="30:35" ht="18" customHeight="1">
      <c r="AD199" s="22"/>
      <c r="AE199" s="22"/>
      <c r="AF199" s="22"/>
      <c r="AG199" s="22"/>
      <c r="AH199" s="22"/>
      <c r="AI199" s="22"/>
    </row>
    <row r="200" spans="30:35" ht="18" customHeight="1">
      <c r="AD200" s="22"/>
      <c r="AE200" s="22"/>
      <c r="AF200" s="22"/>
      <c r="AG200" s="22"/>
      <c r="AH200" s="22"/>
      <c r="AI200" s="22"/>
    </row>
    <row r="201" spans="30:35" ht="18" customHeight="1">
      <c r="AD201" s="22"/>
      <c r="AE201" s="22"/>
      <c r="AF201" s="22"/>
      <c r="AG201" s="22"/>
      <c r="AH201" s="22"/>
      <c r="AI201" s="22"/>
    </row>
    <row r="202" spans="30:35" ht="18" customHeight="1">
      <c r="AD202" s="22"/>
      <c r="AE202" s="22"/>
      <c r="AF202" s="22"/>
      <c r="AG202" s="22"/>
      <c r="AH202" s="22"/>
      <c r="AI202" s="22"/>
    </row>
    <row r="203" spans="30:35" ht="18" customHeight="1">
      <c r="AD203" s="22"/>
      <c r="AE203" s="22"/>
      <c r="AF203" s="22"/>
      <c r="AG203" s="22"/>
      <c r="AH203" s="22"/>
      <c r="AI203" s="22"/>
    </row>
    <row r="204" spans="30:35" ht="18" customHeight="1">
      <c r="AD204" s="22"/>
      <c r="AE204" s="22"/>
      <c r="AF204" s="22"/>
      <c r="AG204" s="22"/>
      <c r="AH204" s="22"/>
      <c r="AI204" s="22"/>
    </row>
    <row r="205" spans="30:35" ht="18" customHeight="1">
      <c r="AD205" s="22"/>
      <c r="AE205" s="22"/>
      <c r="AF205" s="22"/>
      <c r="AG205" s="22"/>
      <c r="AH205" s="22"/>
      <c r="AI205" s="22"/>
    </row>
    <row r="206" spans="30:35" ht="18" customHeight="1">
      <c r="AD206" s="22"/>
      <c r="AE206" s="22"/>
      <c r="AF206" s="22"/>
      <c r="AG206" s="22"/>
      <c r="AH206" s="22"/>
      <c r="AI206" s="22"/>
    </row>
    <row r="207" spans="30:35" ht="18" customHeight="1">
      <c r="AD207" s="22"/>
      <c r="AE207" s="22"/>
      <c r="AF207" s="22"/>
      <c r="AG207" s="22"/>
      <c r="AH207" s="22"/>
      <c r="AI207" s="22"/>
    </row>
    <row r="208" spans="30:35" ht="18" customHeight="1">
      <c r="AD208" s="22"/>
      <c r="AE208" s="22"/>
      <c r="AF208" s="22"/>
      <c r="AG208" s="22"/>
      <c r="AH208" s="22"/>
      <c r="AI208" s="22"/>
    </row>
    <row r="209" spans="30:35" ht="18" customHeight="1">
      <c r="AD209" s="22"/>
      <c r="AE209" s="22"/>
      <c r="AF209" s="22"/>
      <c r="AG209" s="22"/>
      <c r="AH209" s="22"/>
      <c r="AI209" s="22"/>
    </row>
    <row r="210" spans="30:35" ht="18" customHeight="1">
      <c r="AD210" s="22"/>
      <c r="AE210" s="22"/>
      <c r="AF210" s="22"/>
      <c r="AG210" s="22"/>
      <c r="AH210" s="22"/>
      <c r="AI210" s="22"/>
    </row>
    <row r="211" spans="30:35" ht="18" customHeight="1">
      <c r="AD211" s="22"/>
      <c r="AE211" s="22"/>
      <c r="AF211" s="22"/>
      <c r="AG211" s="22"/>
      <c r="AH211" s="22"/>
      <c r="AI211" s="22"/>
    </row>
    <row r="212" spans="30:35" ht="18" customHeight="1">
      <c r="AD212" s="22"/>
      <c r="AE212" s="22"/>
      <c r="AF212" s="22"/>
      <c r="AG212" s="22"/>
      <c r="AH212" s="22"/>
      <c r="AI212" s="22"/>
    </row>
    <row r="213" spans="30:35" ht="18" customHeight="1">
      <c r="AD213" s="22"/>
      <c r="AE213" s="22"/>
      <c r="AF213" s="22"/>
      <c r="AG213" s="22"/>
      <c r="AH213" s="22"/>
      <c r="AI213" s="22"/>
    </row>
    <row r="214" spans="30:35" ht="18" customHeight="1">
      <c r="AD214" s="22"/>
      <c r="AE214" s="22"/>
      <c r="AF214" s="22"/>
      <c r="AG214" s="22"/>
      <c r="AH214" s="22"/>
      <c r="AI214" s="22"/>
    </row>
    <row r="215" spans="30:35" ht="18" customHeight="1">
      <c r="AD215" s="22"/>
      <c r="AE215" s="22"/>
      <c r="AF215" s="22"/>
      <c r="AG215" s="22"/>
      <c r="AH215" s="22"/>
      <c r="AI215" s="22"/>
    </row>
    <row r="216" spans="30:35" ht="18" customHeight="1">
      <c r="AD216" s="22"/>
      <c r="AE216" s="22"/>
      <c r="AF216" s="22"/>
      <c r="AG216" s="22"/>
      <c r="AH216" s="22"/>
      <c r="AI216" s="22"/>
    </row>
    <row r="217" spans="30:35" ht="18" customHeight="1">
      <c r="AD217" s="22"/>
      <c r="AE217" s="22"/>
      <c r="AF217" s="22"/>
      <c r="AG217" s="22"/>
      <c r="AH217" s="22"/>
      <c r="AI217" s="22"/>
    </row>
    <row r="218" spans="30:35" ht="18" customHeight="1">
      <c r="AD218" s="22"/>
      <c r="AE218" s="22"/>
      <c r="AF218" s="22"/>
      <c r="AG218" s="22"/>
      <c r="AH218" s="22"/>
      <c r="AI218" s="22"/>
    </row>
    <row r="219" spans="30:35" ht="18" customHeight="1">
      <c r="AD219" s="22"/>
      <c r="AE219" s="22"/>
      <c r="AF219" s="22"/>
      <c r="AG219" s="22"/>
      <c r="AH219" s="22"/>
      <c r="AI219" s="22"/>
    </row>
    <row r="220" spans="30:35" ht="18" customHeight="1">
      <c r="AD220" s="22"/>
      <c r="AE220" s="22"/>
      <c r="AF220" s="22"/>
      <c r="AG220" s="22"/>
      <c r="AH220" s="22"/>
      <c r="AI220" s="22"/>
    </row>
    <row r="221" spans="30:35" ht="18" customHeight="1">
      <c r="AD221" s="22"/>
      <c r="AE221" s="22"/>
      <c r="AF221" s="22"/>
      <c r="AG221" s="22"/>
      <c r="AH221" s="22"/>
      <c r="AI221" s="22"/>
    </row>
    <row r="222" spans="30:35" ht="18" customHeight="1">
      <c r="AD222" s="22"/>
      <c r="AE222" s="22"/>
      <c r="AF222" s="22"/>
      <c r="AG222" s="22"/>
      <c r="AH222" s="22"/>
      <c r="AI222" s="22"/>
    </row>
    <row r="223" spans="30:35" ht="18" customHeight="1">
      <c r="AD223" s="22"/>
      <c r="AE223" s="22"/>
      <c r="AF223" s="22"/>
      <c r="AG223" s="22"/>
      <c r="AH223" s="22"/>
      <c r="AI223" s="22"/>
    </row>
    <row r="224" spans="30:35" ht="18" customHeight="1">
      <c r="AD224" s="22"/>
      <c r="AE224" s="22"/>
      <c r="AF224" s="22"/>
      <c r="AG224" s="22"/>
      <c r="AH224" s="22"/>
      <c r="AI224" s="22"/>
    </row>
    <row r="225" spans="30:35" ht="18" customHeight="1">
      <c r="AD225" s="22"/>
      <c r="AE225" s="22"/>
      <c r="AF225" s="22"/>
      <c r="AG225" s="22"/>
      <c r="AH225" s="22"/>
      <c r="AI225" s="22"/>
    </row>
    <row r="226" spans="30:35" ht="18" customHeight="1">
      <c r="AD226" s="22"/>
      <c r="AE226" s="22"/>
      <c r="AF226" s="22"/>
      <c r="AG226" s="22"/>
      <c r="AH226" s="22"/>
      <c r="AI226" s="22"/>
    </row>
    <row r="227" spans="30:35" ht="18" customHeight="1">
      <c r="AD227" s="22"/>
      <c r="AE227" s="22"/>
      <c r="AF227" s="22"/>
      <c r="AG227" s="22"/>
      <c r="AH227" s="22"/>
      <c r="AI227" s="22"/>
    </row>
    <row r="228" spans="30:35" ht="18" customHeight="1">
      <c r="AD228" s="22"/>
      <c r="AE228" s="22"/>
      <c r="AF228" s="22"/>
      <c r="AG228" s="22"/>
      <c r="AH228" s="22"/>
      <c r="AI228" s="22"/>
    </row>
    <row r="229" spans="30:35" ht="18" customHeight="1">
      <c r="AD229" s="22"/>
      <c r="AE229" s="22"/>
      <c r="AF229" s="22"/>
      <c r="AG229" s="22"/>
      <c r="AH229" s="22"/>
      <c r="AI229" s="22"/>
    </row>
    <row r="230" spans="30:35" ht="18" customHeight="1">
      <c r="AD230" s="22"/>
      <c r="AE230" s="22"/>
      <c r="AF230" s="22"/>
      <c r="AG230" s="22"/>
      <c r="AH230" s="22"/>
      <c r="AI230" s="22"/>
    </row>
    <row r="231" spans="30:35" ht="18" customHeight="1">
      <c r="AD231" s="22"/>
      <c r="AE231" s="22"/>
      <c r="AF231" s="22"/>
      <c r="AG231" s="22"/>
      <c r="AH231" s="22"/>
      <c r="AI231" s="22"/>
    </row>
    <row r="232" spans="30:35" ht="18" customHeight="1">
      <c r="AD232" s="22"/>
      <c r="AE232" s="22"/>
      <c r="AF232" s="22"/>
      <c r="AG232" s="22"/>
      <c r="AH232" s="22"/>
      <c r="AI232" s="22"/>
    </row>
    <row r="233" spans="30:35" ht="18" customHeight="1">
      <c r="AD233" s="22"/>
      <c r="AE233" s="22"/>
      <c r="AF233" s="22"/>
      <c r="AG233" s="22"/>
      <c r="AH233" s="22"/>
      <c r="AI233" s="22"/>
    </row>
    <row r="234" spans="30:35" ht="18" customHeight="1">
      <c r="AD234" s="22"/>
      <c r="AE234" s="22"/>
      <c r="AF234" s="22"/>
      <c r="AG234" s="22"/>
      <c r="AH234" s="22"/>
      <c r="AI234" s="22"/>
    </row>
    <row r="235" spans="30:35" ht="18" customHeight="1">
      <c r="AD235" s="22"/>
      <c r="AE235" s="22"/>
      <c r="AF235" s="22"/>
      <c r="AG235" s="22"/>
      <c r="AH235" s="22"/>
      <c r="AI235" s="22"/>
    </row>
    <row r="236" spans="30:35" ht="18" customHeight="1">
      <c r="AD236" s="22"/>
      <c r="AE236" s="22"/>
      <c r="AF236" s="22"/>
      <c r="AG236" s="22"/>
      <c r="AH236" s="22"/>
      <c r="AI236" s="22"/>
    </row>
    <row r="237" spans="30:35" ht="18" customHeight="1">
      <c r="AD237" s="22"/>
      <c r="AE237" s="22"/>
      <c r="AF237" s="22"/>
      <c r="AG237" s="22"/>
      <c r="AH237" s="22"/>
      <c r="AI237" s="22"/>
    </row>
    <row r="238" spans="30:35" ht="18" customHeight="1">
      <c r="AD238" s="22"/>
      <c r="AE238" s="22"/>
      <c r="AF238" s="22"/>
      <c r="AG238" s="22"/>
      <c r="AH238" s="22"/>
      <c r="AI238" s="22"/>
    </row>
    <row r="239" spans="30:35" ht="18" customHeight="1">
      <c r="AD239" s="22"/>
      <c r="AE239" s="22"/>
      <c r="AF239" s="22"/>
      <c r="AG239" s="22"/>
      <c r="AH239" s="22"/>
      <c r="AI239" s="22"/>
    </row>
    <row r="240" spans="30:35" ht="18" customHeight="1">
      <c r="AD240" s="22"/>
      <c r="AE240" s="22"/>
      <c r="AF240" s="22"/>
      <c r="AG240" s="22"/>
      <c r="AH240" s="22"/>
      <c r="AI240" s="22"/>
    </row>
    <row r="241" spans="30:35" ht="18" customHeight="1">
      <c r="AD241" s="22"/>
      <c r="AE241" s="22"/>
      <c r="AF241" s="22"/>
      <c r="AG241" s="22"/>
      <c r="AH241" s="22"/>
      <c r="AI241" s="22"/>
    </row>
    <row r="242" spans="30:35" ht="18" customHeight="1">
      <c r="AD242" s="22"/>
      <c r="AE242" s="22"/>
      <c r="AF242" s="22"/>
      <c r="AG242" s="22"/>
      <c r="AH242" s="22"/>
      <c r="AI242" s="22"/>
    </row>
    <row r="243" spans="30:35" ht="18" customHeight="1">
      <c r="AD243" s="22"/>
      <c r="AE243" s="22"/>
      <c r="AF243" s="22"/>
      <c r="AG243" s="22"/>
      <c r="AH243" s="22"/>
      <c r="AI243" s="22"/>
    </row>
    <row r="244" spans="30:35" ht="18" customHeight="1">
      <c r="AD244" s="22"/>
      <c r="AE244" s="22"/>
      <c r="AF244" s="22"/>
      <c r="AG244" s="22"/>
      <c r="AH244" s="22"/>
      <c r="AI244" s="22"/>
    </row>
    <row r="245" spans="30:35" ht="18" customHeight="1">
      <c r="AD245" s="22"/>
      <c r="AE245" s="22"/>
      <c r="AF245" s="22"/>
      <c r="AG245" s="22"/>
      <c r="AH245" s="22"/>
      <c r="AI245" s="22"/>
    </row>
    <row r="246" spans="30:35" ht="18" customHeight="1">
      <c r="AD246" s="22"/>
      <c r="AE246" s="22"/>
      <c r="AF246" s="22"/>
      <c r="AG246" s="22"/>
      <c r="AH246" s="22"/>
      <c r="AI246" s="22"/>
    </row>
    <row r="247" spans="30:35" ht="18" customHeight="1">
      <c r="AD247" s="22"/>
      <c r="AE247" s="22"/>
      <c r="AF247" s="22"/>
      <c r="AG247" s="22"/>
      <c r="AH247" s="22"/>
      <c r="AI247" s="22"/>
    </row>
    <row r="248" spans="30:35" ht="18" customHeight="1">
      <c r="AD248" s="22"/>
      <c r="AE248" s="22"/>
      <c r="AF248" s="22"/>
      <c r="AG248" s="22"/>
      <c r="AH248" s="22"/>
      <c r="AI248" s="22"/>
    </row>
    <row r="249" spans="30:35" ht="18" customHeight="1">
      <c r="AD249" s="22"/>
      <c r="AE249" s="22"/>
      <c r="AF249" s="22"/>
      <c r="AG249" s="22"/>
      <c r="AH249" s="22"/>
      <c r="AI249" s="22"/>
    </row>
    <row r="250" spans="30:35" ht="18" customHeight="1">
      <c r="AD250" s="22"/>
      <c r="AE250" s="22"/>
      <c r="AF250" s="22"/>
      <c r="AG250" s="22"/>
      <c r="AH250" s="22"/>
      <c r="AI250" s="22"/>
    </row>
    <row r="251" spans="30:35" ht="18" customHeight="1">
      <c r="AD251" s="22"/>
      <c r="AE251" s="22"/>
      <c r="AF251" s="22"/>
      <c r="AG251" s="22"/>
      <c r="AH251" s="22"/>
      <c r="AI251" s="22"/>
    </row>
    <row r="252" spans="30:35" ht="18" customHeight="1">
      <c r="AD252" s="22"/>
      <c r="AE252" s="22"/>
      <c r="AF252" s="22"/>
      <c r="AG252" s="22"/>
      <c r="AH252" s="22"/>
      <c r="AI252" s="22"/>
    </row>
    <row r="253" spans="30:35" ht="18" customHeight="1">
      <c r="AD253" s="22"/>
      <c r="AE253" s="22"/>
      <c r="AF253" s="22"/>
      <c r="AG253" s="22"/>
      <c r="AH253" s="22"/>
      <c r="AI253" s="22"/>
    </row>
    <row r="254" spans="30:35" ht="18" customHeight="1">
      <c r="AD254" s="22"/>
      <c r="AE254" s="22"/>
      <c r="AF254" s="22"/>
      <c r="AG254" s="22"/>
      <c r="AH254" s="22"/>
      <c r="AI254" s="22"/>
    </row>
    <row r="255" spans="30:35" ht="18" customHeight="1">
      <c r="AD255" s="22"/>
      <c r="AE255" s="22"/>
      <c r="AF255" s="22"/>
      <c r="AG255" s="22"/>
      <c r="AH255" s="22"/>
      <c r="AI255" s="22"/>
    </row>
    <row r="256" spans="30:35" ht="18" customHeight="1">
      <c r="AD256" s="22"/>
      <c r="AE256" s="22"/>
      <c r="AF256" s="22"/>
      <c r="AG256" s="22"/>
      <c r="AH256" s="22"/>
      <c r="AI256" s="22"/>
    </row>
    <row r="257" spans="30:35" ht="18" customHeight="1">
      <c r="AD257" s="22"/>
      <c r="AE257" s="22"/>
      <c r="AF257" s="22"/>
      <c r="AG257" s="22"/>
      <c r="AH257" s="22"/>
      <c r="AI257" s="22"/>
    </row>
    <row r="258" spans="30:35" ht="18" customHeight="1">
      <c r="AD258" s="22"/>
      <c r="AE258" s="22"/>
      <c r="AF258" s="22"/>
      <c r="AG258" s="22"/>
      <c r="AH258" s="22"/>
      <c r="AI258" s="22"/>
    </row>
    <row r="259" spans="30:35" ht="18" customHeight="1">
      <c r="AD259" s="22"/>
      <c r="AE259" s="22"/>
      <c r="AF259" s="22"/>
      <c r="AG259" s="22"/>
      <c r="AH259" s="22"/>
      <c r="AI259" s="22"/>
    </row>
    <row r="260" spans="30:35" ht="18" customHeight="1">
      <c r="AD260" s="22"/>
      <c r="AE260" s="22"/>
      <c r="AF260" s="22"/>
      <c r="AG260" s="22"/>
      <c r="AH260" s="22"/>
      <c r="AI260" s="22"/>
    </row>
    <row r="261" spans="30:35" ht="18" customHeight="1">
      <c r="AD261" s="22"/>
      <c r="AE261" s="22"/>
      <c r="AF261" s="22"/>
      <c r="AG261" s="22"/>
      <c r="AH261" s="22"/>
      <c r="AI261" s="22"/>
    </row>
    <row r="262" spans="30:35" ht="18" customHeight="1">
      <c r="AD262" s="22"/>
      <c r="AE262" s="22"/>
      <c r="AF262" s="22"/>
      <c r="AG262" s="22"/>
      <c r="AH262" s="22"/>
      <c r="AI262" s="22"/>
    </row>
    <row r="263" spans="30:35" ht="18" customHeight="1">
      <c r="AD263" s="22"/>
      <c r="AE263" s="22"/>
      <c r="AF263" s="22"/>
      <c r="AG263" s="22"/>
      <c r="AH263" s="22"/>
      <c r="AI263" s="22"/>
    </row>
    <row r="264" spans="30:35" ht="18" customHeight="1">
      <c r="AD264" s="22"/>
      <c r="AE264" s="22"/>
      <c r="AF264" s="22"/>
      <c r="AG264" s="22"/>
      <c r="AH264" s="22"/>
      <c r="AI264" s="22"/>
    </row>
    <row r="265" spans="30:35" ht="18" customHeight="1">
      <c r="AD265" s="22"/>
      <c r="AE265" s="22"/>
      <c r="AF265" s="22"/>
      <c r="AG265" s="22"/>
      <c r="AH265" s="22"/>
      <c r="AI265" s="22"/>
    </row>
    <row r="266" spans="30:35" ht="18" customHeight="1">
      <c r="AD266" s="22"/>
      <c r="AE266" s="22"/>
      <c r="AF266" s="22"/>
      <c r="AG266" s="22"/>
      <c r="AH266" s="22"/>
      <c r="AI266" s="22"/>
    </row>
    <row r="267" spans="30:35" ht="18" customHeight="1">
      <c r="AD267" s="22"/>
      <c r="AE267" s="22"/>
      <c r="AF267" s="22"/>
      <c r="AG267" s="22"/>
      <c r="AH267" s="22"/>
      <c r="AI267" s="22"/>
    </row>
    <row r="268" spans="30:35" ht="18" customHeight="1">
      <c r="AD268" s="22"/>
      <c r="AE268" s="22"/>
      <c r="AF268" s="22"/>
      <c r="AG268" s="22"/>
      <c r="AH268" s="22"/>
      <c r="AI268" s="22"/>
    </row>
    <row r="269" spans="30:35" ht="18" customHeight="1">
      <c r="AD269" s="22"/>
      <c r="AE269" s="22"/>
      <c r="AF269" s="22"/>
      <c r="AG269" s="22"/>
      <c r="AH269" s="22"/>
      <c r="AI269" s="22"/>
    </row>
    <row r="270" spans="30:35" ht="18" customHeight="1">
      <c r="AD270" s="22"/>
      <c r="AE270" s="22"/>
      <c r="AF270" s="22"/>
      <c r="AG270" s="22"/>
      <c r="AH270" s="22"/>
      <c r="AI270" s="22"/>
    </row>
    <row r="271" spans="30:35" ht="18" customHeight="1">
      <c r="AD271" s="22"/>
      <c r="AE271" s="22"/>
      <c r="AF271" s="22"/>
      <c r="AG271" s="22"/>
      <c r="AH271" s="22"/>
      <c r="AI271" s="22"/>
    </row>
    <row r="272" spans="30:35" ht="18" customHeight="1">
      <c r="AD272" s="22"/>
      <c r="AE272" s="22"/>
      <c r="AF272" s="22"/>
      <c r="AG272" s="22"/>
      <c r="AH272" s="22"/>
      <c r="AI272" s="22"/>
    </row>
    <row r="273" spans="30:35" ht="18" customHeight="1">
      <c r="AD273" s="22"/>
      <c r="AE273" s="22"/>
      <c r="AF273" s="22"/>
      <c r="AG273" s="22"/>
      <c r="AH273" s="22"/>
      <c r="AI273" s="22"/>
    </row>
    <row r="274" spans="30:35" ht="18" customHeight="1">
      <c r="AD274" s="22"/>
      <c r="AE274" s="22"/>
      <c r="AF274" s="22"/>
      <c r="AG274" s="22"/>
      <c r="AH274" s="22"/>
      <c r="AI274" s="22"/>
    </row>
    <row r="275" spans="30:35" ht="18" customHeight="1">
      <c r="AD275" s="22"/>
      <c r="AE275" s="22"/>
      <c r="AF275" s="22"/>
      <c r="AG275" s="22"/>
      <c r="AH275" s="22"/>
      <c r="AI275" s="22"/>
    </row>
    <row r="276" spans="30:35" ht="18" customHeight="1">
      <c r="AD276" s="22"/>
      <c r="AE276" s="22"/>
      <c r="AF276" s="22"/>
      <c r="AG276" s="22"/>
      <c r="AH276" s="22"/>
      <c r="AI276" s="22"/>
    </row>
    <row r="277" spans="30:35" ht="18" customHeight="1">
      <c r="AD277" s="22"/>
      <c r="AE277" s="22"/>
      <c r="AF277" s="22"/>
      <c r="AG277" s="22"/>
      <c r="AH277" s="22"/>
      <c r="AI277" s="22"/>
    </row>
    <row r="278" spans="30:35" ht="18" customHeight="1">
      <c r="AD278" s="22"/>
      <c r="AE278" s="22"/>
      <c r="AF278" s="22"/>
      <c r="AG278" s="22"/>
      <c r="AH278" s="22"/>
      <c r="AI278" s="22"/>
    </row>
    <row r="279" spans="30:35" ht="18" customHeight="1">
      <c r="AD279" s="22"/>
      <c r="AE279" s="22"/>
      <c r="AF279" s="22"/>
      <c r="AG279" s="22"/>
      <c r="AH279" s="22"/>
      <c r="AI279" s="22"/>
    </row>
    <row r="280" spans="30:35" ht="18" customHeight="1">
      <c r="AD280" s="22"/>
      <c r="AE280" s="22"/>
      <c r="AF280" s="22"/>
      <c r="AG280" s="22"/>
      <c r="AH280" s="22"/>
      <c r="AI280" s="22"/>
    </row>
    <row r="281" spans="30:35" ht="18" customHeight="1">
      <c r="AD281" s="22"/>
      <c r="AE281" s="22"/>
      <c r="AF281" s="22"/>
      <c r="AG281" s="22"/>
      <c r="AH281" s="22"/>
      <c r="AI281" s="22"/>
    </row>
    <row r="282" spans="30:35" ht="18" customHeight="1">
      <c r="AD282" s="22"/>
      <c r="AE282" s="22"/>
      <c r="AF282" s="22"/>
      <c r="AG282" s="22"/>
      <c r="AH282" s="22"/>
      <c r="AI282" s="22"/>
    </row>
    <row r="283" spans="30:35" ht="18" customHeight="1">
      <c r="AD283" s="22"/>
      <c r="AE283" s="22"/>
      <c r="AF283" s="22"/>
      <c r="AG283" s="22"/>
      <c r="AH283" s="22"/>
      <c r="AI283" s="22"/>
    </row>
    <row r="284" spans="30:35" ht="18" customHeight="1">
      <c r="AD284" s="22"/>
      <c r="AE284" s="22"/>
      <c r="AF284" s="22"/>
      <c r="AG284" s="22"/>
      <c r="AH284" s="22"/>
      <c r="AI284" s="22"/>
    </row>
    <row r="285" spans="30:35" ht="18" customHeight="1">
      <c r="AD285" s="22"/>
      <c r="AE285" s="22"/>
      <c r="AF285" s="22"/>
      <c r="AG285" s="22"/>
      <c r="AH285" s="22"/>
      <c r="AI285" s="22"/>
    </row>
    <row r="286" spans="30:35" ht="18" customHeight="1">
      <c r="AD286" s="22"/>
      <c r="AE286" s="22"/>
      <c r="AF286" s="22"/>
      <c r="AG286" s="22"/>
      <c r="AH286" s="22"/>
      <c r="AI286" s="22"/>
    </row>
    <row r="287" spans="30:35" ht="18" customHeight="1">
      <c r="AD287" s="22"/>
      <c r="AE287" s="22"/>
      <c r="AF287" s="22"/>
      <c r="AG287" s="22"/>
      <c r="AH287" s="22"/>
      <c r="AI287" s="22"/>
    </row>
    <row r="288" spans="30:35" ht="18" customHeight="1">
      <c r="AD288" s="22"/>
      <c r="AE288" s="22"/>
      <c r="AF288" s="22"/>
      <c r="AG288" s="22"/>
      <c r="AH288" s="22"/>
      <c r="AI288" s="22"/>
    </row>
    <row r="289" spans="30:35" ht="18" customHeight="1">
      <c r="AD289" s="22"/>
      <c r="AE289" s="22"/>
      <c r="AF289" s="22"/>
      <c r="AG289" s="22"/>
      <c r="AH289" s="22"/>
      <c r="AI289" s="22"/>
    </row>
    <row r="290" spans="30:35" ht="18" customHeight="1">
      <c r="AD290" s="22"/>
      <c r="AE290" s="22"/>
      <c r="AF290" s="22"/>
      <c r="AG290" s="22"/>
      <c r="AH290" s="22"/>
      <c r="AI290" s="22"/>
    </row>
    <row r="291" spans="30:35" ht="18" customHeight="1">
      <c r="AD291" s="22"/>
      <c r="AE291" s="22"/>
      <c r="AF291" s="22"/>
      <c r="AG291" s="22"/>
      <c r="AH291" s="22"/>
      <c r="AI291" s="22"/>
    </row>
    <row r="292" spans="30:35" ht="18" customHeight="1">
      <c r="AD292" s="22"/>
      <c r="AE292" s="22"/>
      <c r="AF292" s="22"/>
      <c r="AG292" s="22"/>
      <c r="AH292" s="22"/>
      <c r="AI292" s="22"/>
    </row>
    <row r="293" spans="30:35" ht="18" customHeight="1">
      <c r="AD293" s="22"/>
      <c r="AE293" s="22"/>
      <c r="AF293" s="22"/>
      <c r="AG293" s="22"/>
      <c r="AH293" s="22"/>
      <c r="AI293" s="22"/>
    </row>
    <row r="294" spans="30:35" ht="18" customHeight="1">
      <c r="AD294" s="22"/>
      <c r="AE294" s="22"/>
      <c r="AF294" s="22"/>
      <c r="AG294" s="22"/>
      <c r="AH294" s="22"/>
      <c r="AI294" s="22"/>
    </row>
    <row r="295" spans="30:35" ht="18" customHeight="1">
      <c r="AD295" s="22"/>
      <c r="AE295" s="22"/>
      <c r="AF295" s="22"/>
      <c r="AG295" s="22"/>
      <c r="AH295" s="22"/>
      <c r="AI295" s="22"/>
    </row>
    <row r="296" spans="30:35" ht="18" customHeight="1">
      <c r="AD296" s="22"/>
      <c r="AE296" s="22"/>
      <c r="AF296" s="22"/>
      <c r="AG296" s="22"/>
      <c r="AH296" s="22"/>
      <c r="AI296" s="22"/>
    </row>
    <row r="297" spans="30:35" ht="18" customHeight="1">
      <c r="AD297" s="22"/>
      <c r="AE297" s="22"/>
      <c r="AF297" s="22"/>
      <c r="AG297" s="22"/>
      <c r="AH297" s="22"/>
      <c r="AI297" s="22"/>
    </row>
    <row r="298" spans="30:35" ht="18" customHeight="1">
      <c r="AD298" s="22"/>
      <c r="AE298" s="22"/>
      <c r="AF298" s="22"/>
      <c r="AG298" s="22"/>
      <c r="AH298" s="22"/>
      <c r="AI298" s="22"/>
    </row>
    <row r="299" spans="30:35" ht="18" customHeight="1">
      <c r="AD299" s="22"/>
      <c r="AE299" s="22"/>
      <c r="AF299" s="22"/>
      <c r="AG299" s="22"/>
      <c r="AH299" s="22"/>
      <c r="AI299" s="22"/>
    </row>
    <row r="300" spans="30:35" ht="18" customHeight="1">
      <c r="AD300" s="22"/>
      <c r="AE300" s="22"/>
      <c r="AF300" s="22"/>
      <c r="AG300" s="22"/>
      <c r="AH300" s="22"/>
      <c r="AI300" s="22"/>
    </row>
    <row r="301" spans="30:35" ht="18" customHeight="1">
      <c r="AD301" s="22"/>
      <c r="AE301" s="22"/>
      <c r="AF301" s="22"/>
      <c r="AG301" s="22"/>
      <c r="AH301" s="22"/>
      <c r="AI301" s="22"/>
    </row>
    <row r="302" spans="30:35" ht="18" customHeight="1">
      <c r="AD302" s="22"/>
      <c r="AE302" s="22"/>
      <c r="AF302" s="22"/>
      <c r="AG302" s="22"/>
      <c r="AH302" s="22"/>
      <c r="AI302" s="22"/>
    </row>
    <row r="303" spans="30:35" ht="18" customHeight="1">
      <c r="AD303" s="22"/>
      <c r="AE303" s="22"/>
      <c r="AF303" s="22"/>
      <c r="AG303" s="22"/>
      <c r="AH303" s="22"/>
      <c r="AI303" s="22"/>
    </row>
    <row r="304" spans="30:35" ht="18" customHeight="1">
      <c r="AD304" s="22"/>
      <c r="AE304" s="22"/>
      <c r="AF304" s="22"/>
      <c r="AG304" s="22"/>
      <c r="AH304" s="22"/>
      <c r="AI304" s="22"/>
    </row>
    <row r="305" spans="30:35" ht="18" customHeight="1">
      <c r="AD305" s="22"/>
      <c r="AE305" s="22"/>
      <c r="AF305" s="22"/>
      <c r="AG305" s="22"/>
      <c r="AH305" s="22"/>
      <c r="AI305" s="22"/>
    </row>
    <row r="306" spans="30:35" ht="18" customHeight="1">
      <c r="AD306" s="22"/>
      <c r="AE306" s="22"/>
      <c r="AF306" s="22"/>
      <c r="AG306" s="22"/>
      <c r="AH306" s="22"/>
      <c r="AI306" s="22"/>
    </row>
    <row r="307" spans="30:35" ht="18" customHeight="1">
      <c r="AD307" s="22"/>
      <c r="AE307" s="22"/>
      <c r="AF307" s="22"/>
      <c r="AG307" s="22"/>
      <c r="AH307" s="22"/>
      <c r="AI307" s="22"/>
    </row>
    <row r="308" spans="30:35" ht="18" customHeight="1">
      <c r="AD308" s="22"/>
      <c r="AE308" s="22"/>
      <c r="AF308" s="22"/>
      <c r="AG308" s="22"/>
      <c r="AH308" s="22"/>
      <c r="AI308" s="22"/>
    </row>
    <row r="309" spans="30:35" ht="18" customHeight="1">
      <c r="AD309" s="22"/>
      <c r="AE309" s="22"/>
      <c r="AF309" s="22"/>
      <c r="AG309" s="22"/>
      <c r="AH309" s="22"/>
      <c r="AI309" s="22"/>
    </row>
    <row r="310" spans="30:35" ht="18" customHeight="1">
      <c r="AD310" s="22"/>
      <c r="AE310" s="22"/>
      <c r="AF310" s="22"/>
      <c r="AG310" s="22"/>
      <c r="AH310" s="22"/>
      <c r="AI310" s="22"/>
    </row>
    <row r="311" spans="30:35" ht="18" customHeight="1">
      <c r="AD311" s="22"/>
      <c r="AE311" s="22"/>
      <c r="AF311" s="22"/>
      <c r="AG311" s="22"/>
      <c r="AH311" s="22"/>
      <c r="AI311" s="22"/>
    </row>
    <row r="312" spans="30:35" ht="18" customHeight="1">
      <c r="AD312" s="22"/>
      <c r="AE312" s="22"/>
      <c r="AF312" s="22"/>
      <c r="AG312" s="22"/>
      <c r="AH312" s="22"/>
      <c r="AI312" s="22"/>
    </row>
    <row r="313" spans="30:35" ht="18" customHeight="1">
      <c r="AD313" s="22"/>
      <c r="AE313" s="22"/>
      <c r="AF313" s="22"/>
      <c r="AG313" s="22"/>
      <c r="AH313" s="22"/>
      <c r="AI313" s="22"/>
    </row>
    <row r="314" spans="30:35" ht="18" customHeight="1">
      <c r="AD314" s="22"/>
      <c r="AE314" s="22"/>
      <c r="AF314" s="22"/>
      <c r="AG314" s="22"/>
      <c r="AH314" s="22"/>
      <c r="AI314" s="22"/>
    </row>
    <row r="315" spans="30:35" ht="18" customHeight="1">
      <c r="AD315" s="22"/>
      <c r="AE315" s="22"/>
      <c r="AF315" s="22"/>
      <c r="AG315" s="22"/>
      <c r="AH315" s="22"/>
      <c r="AI315" s="22"/>
    </row>
    <row r="316" spans="30:35" ht="18" customHeight="1">
      <c r="AD316" s="22"/>
      <c r="AE316" s="22"/>
      <c r="AF316" s="22"/>
      <c r="AG316" s="22"/>
      <c r="AH316" s="22"/>
      <c r="AI316" s="22"/>
    </row>
    <row r="317" spans="30:35" ht="18" customHeight="1">
      <c r="AD317" s="22"/>
      <c r="AE317" s="22"/>
      <c r="AF317" s="22"/>
      <c r="AG317" s="22"/>
      <c r="AH317" s="22"/>
      <c r="AI317" s="22"/>
    </row>
    <row r="318" spans="30:35" ht="18" customHeight="1">
      <c r="AD318" s="22"/>
      <c r="AE318" s="22"/>
      <c r="AF318" s="22"/>
      <c r="AG318" s="22"/>
      <c r="AH318" s="22"/>
      <c r="AI318" s="22"/>
    </row>
    <row r="319" spans="30:35" ht="18" customHeight="1">
      <c r="AD319" s="22"/>
      <c r="AE319" s="22"/>
      <c r="AF319" s="22"/>
      <c r="AG319" s="22"/>
      <c r="AH319" s="22"/>
      <c r="AI319" s="22"/>
    </row>
    <row r="320" spans="30:35" ht="18" customHeight="1">
      <c r="AD320" s="22"/>
      <c r="AE320" s="22"/>
      <c r="AF320" s="22"/>
      <c r="AG320" s="22"/>
      <c r="AH320" s="22"/>
      <c r="AI320" s="22"/>
    </row>
    <row r="321" spans="30:35" ht="18" customHeight="1">
      <c r="AD321" s="22"/>
      <c r="AE321" s="22"/>
      <c r="AF321" s="22"/>
      <c r="AG321" s="22"/>
      <c r="AH321" s="22"/>
      <c r="AI321" s="22"/>
    </row>
    <row r="322" spans="30:35" ht="18" customHeight="1">
      <c r="AD322" s="22"/>
      <c r="AE322" s="22"/>
      <c r="AF322" s="22"/>
      <c r="AG322" s="22"/>
      <c r="AH322" s="22"/>
      <c r="AI322" s="22"/>
    </row>
    <row r="323" spans="30:35" ht="18" customHeight="1">
      <c r="AD323" s="22"/>
      <c r="AE323" s="22"/>
      <c r="AF323" s="22"/>
      <c r="AG323" s="22"/>
      <c r="AH323" s="22"/>
      <c r="AI323" s="22"/>
    </row>
    <row r="324" spans="30:35" ht="18" customHeight="1">
      <c r="AD324" s="22"/>
      <c r="AE324" s="22"/>
      <c r="AF324" s="22"/>
      <c r="AG324" s="22"/>
      <c r="AH324" s="22"/>
      <c r="AI324" s="22"/>
    </row>
    <row r="325" spans="30:35" ht="18" customHeight="1">
      <c r="AD325" s="22"/>
      <c r="AE325" s="22"/>
      <c r="AF325" s="22"/>
      <c r="AG325" s="22"/>
      <c r="AH325" s="22"/>
      <c r="AI325" s="22"/>
    </row>
    <row r="326" spans="30:35" ht="18" customHeight="1">
      <c r="AD326" s="22"/>
      <c r="AE326" s="22"/>
      <c r="AF326" s="22"/>
      <c r="AG326" s="22"/>
      <c r="AH326" s="22"/>
      <c r="AI326" s="22"/>
    </row>
    <row r="327" spans="30:35" ht="18" customHeight="1">
      <c r="AD327" s="22"/>
      <c r="AE327" s="22"/>
      <c r="AF327" s="22"/>
      <c r="AG327" s="22"/>
      <c r="AH327" s="22"/>
      <c r="AI327" s="22"/>
    </row>
    <row r="328" spans="30:35" ht="18" customHeight="1">
      <c r="AD328" s="22"/>
      <c r="AE328" s="22"/>
      <c r="AF328" s="22"/>
      <c r="AG328" s="22"/>
      <c r="AH328" s="22"/>
      <c r="AI328" s="22"/>
    </row>
    <row r="329" spans="30:35" ht="18" customHeight="1">
      <c r="AD329" s="22"/>
      <c r="AE329" s="22"/>
      <c r="AF329" s="22"/>
      <c r="AG329" s="22"/>
      <c r="AH329" s="22"/>
      <c r="AI329" s="22"/>
    </row>
    <row r="330" spans="30:35" ht="18" customHeight="1">
      <c r="AD330" s="22"/>
      <c r="AE330" s="22"/>
      <c r="AF330" s="22"/>
      <c r="AG330" s="22"/>
      <c r="AH330" s="22"/>
      <c r="AI330" s="22"/>
    </row>
    <row r="331" spans="30:35" ht="18" customHeight="1">
      <c r="AD331" s="22"/>
      <c r="AE331" s="22"/>
      <c r="AF331" s="22"/>
      <c r="AG331" s="22"/>
      <c r="AH331" s="22"/>
      <c r="AI331" s="22"/>
    </row>
    <row r="332" spans="30:35" ht="18" customHeight="1">
      <c r="AD332" s="22"/>
      <c r="AE332" s="22"/>
      <c r="AF332" s="22"/>
      <c r="AG332" s="22"/>
      <c r="AH332" s="22"/>
      <c r="AI332" s="22"/>
    </row>
    <row r="333" spans="30:35" ht="18" customHeight="1">
      <c r="AD333" s="22"/>
      <c r="AE333" s="22"/>
      <c r="AF333" s="22"/>
      <c r="AG333" s="22"/>
      <c r="AH333" s="22"/>
      <c r="AI333" s="22"/>
    </row>
    <row r="334" spans="30:35" ht="18" customHeight="1">
      <c r="AD334" s="22"/>
      <c r="AE334" s="22"/>
      <c r="AF334" s="22"/>
      <c r="AG334" s="22"/>
      <c r="AH334" s="22"/>
      <c r="AI334" s="22"/>
    </row>
    <row r="335" spans="30:35" ht="18" customHeight="1">
      <c r="AD335" s="22"/>
      <c r="AE335" s="22"/>
      <c r="AF335" s="22"/>
      <c r="AG335" s="22"/>
      <c r="AH335" s="22"/>
      <c r="AI335" s="22"/>
    </row>
    <row r="336" spans="30:35" ht="18" customHeight="1">
      <c r="AD336" s="22"/>
      <c r="AE336" s="22"/>
      <c r="AF336" s="22"/>
      <c r="AG336" s="22"/>
      <c r="AH336" s="22"/>
      <c r="AI336" s="22"/>
    </row>
    <row r="337" spans="30:35" ht="18" customHeight="1">
      <c r="AD337" s="22"/>
      <c r="AE337" s="22"/>
      <c r="AF337" s="22"/>
      <c r="AG337" s="22"/>
      <c r="AH337" s="22"/>
      <c r="AI337" s="22"/>
    </row>
    <row r="338" spans="30:35" ht="18" customHeight="1">
      <c r="AD338" s="22"/>
      <c r="AE338" s="22"/>
      <c r="AF338" s="22"/>
      <c r="AG338" s="22"/>
      <c r="AH338" s="22"/>
      <c r="AI338" s="22"/>
    </row>
    <row r="339" spans="30:35" ht="18" customHeight="1">
      <c r="AD339" s="22"/>
      <c r="AE339" s="22"/>
      <c r="AF339" s="22"/>
      <c r="AG339" s="22"/>
      <c r="AH339" s="22"/>
      <c r="AI339" s="22"/>
    </row>
    <row r="340" spans="30:35" ht="18" customHeight="1">
      <c r="AD340" s="22"/>
      <c r="AE340" s="22"/>
      <c r="AF340" s="22"/>
      <c r="AG340" s="22"/>
      <c r="AH340" s="22"/>
      <c r="AI340" s="22"/>
    </row>
    <row r="341" spans="30:35" ht="18" customHeight="1">
      <c r="AD341" s="22"/>
      <c r="AE341" s="22"/>
      <c r="AF341" s="22"/>
      <c r="AG341" s="22"/>
      <c r="AH341" s="22"/>
      <c r="AI341" s="22"/>
    </row>
    <row r="342" spans="30:35" ht="18" customHeight="1">
      <c r="AD342" s="22"/>
      <c r="AE342" s="22"/>
      <c r="AF342" s="22"/>
      <c r="AG342" s="22"/>
      <c r="AH342" s="22"/>
      <c r="AI342" s="22"/>
    </row>
    <row r="343" spans="30:35" ht="18" customHeight="1">
      <c r="AD343" s="22"/>
      <c r="AE343" s="22"/>
      <c r="AF343" s="22"/>
      <c r="AG343" s="22"/>
      <c r="AH343" s="22"/>
      <c r="AI343" s="22"/>
    </row>
    <row r="344" spans="30:35" ht="18" customHeight="1">
      <c r="AD344" s="22"/>
      <c r="AE344" s="22"/>
      <c r="AF344" s="22"/>
      <c r="AG344" s="22"/>
      <c r="AH344" s="22"/>
      <c r="AI344" s="22"/>
    </row>
    <row r="345" spans="30:35" ht="18" customHeight="1">
      <c r="AD345" s="22"/>
      <c r="AE345" s="22"/>
      <c r="AF345" s="22"/>
      <c r="AG345" s="22"/>
      <c r="AH345" s="22"/>
      <c r="AI345" s="22"/>
    </row>
    <row r="346" spans="30:35" ht="18" customHeight="1">
      <c r="AD346" s="22"/>
      <c r="AE346" s="22"/>
      <c r="AF346" s="22"/>
      <c r="AG346" s="22"/>
      <c r="AH346" s="22"/>
      <c r="AI346" s="22"/>
    </row>
    <row r="347" spans="30:35" ht="18" customHeight="1">
      <c r="AD347" s="22"/>
      <c r="AE347" s="22"/>
      <c r="AF347" s="22"/>
      <c r="AG347" s="22"/>
      <c r="AH347" s="22"/>
      <c r="AI347" s="22"/>
    </row>
    <row r="348" spans="30:35" ht="18" customHeight="1">
      <c r="AD348" s="22"/>
      <c r="AE348" s="22"/>
      <c r="AF348" s="22"/>
      <c r="AG348" s="22"/>
      <c r="AH348" s="22"/>
      <c r="AI348" s="22"/>
    </row>
    <row r="349" spans="30:35" ht="18" customHeight="1">
      <c r="AD349" s="22"/>
      <c r="AE349" s="22"/>
      <c r="AF349" s="22"/>
      <c r="AG349" s="22"/>
      <c r="AH349" s="22"/>
      <c r="AI349" s="22"/>
    </row>
    <row r="350" spans="30:35" ht="18" customHeight="1">
      <c r="AD350" s="22"/>
      <c r="AE350" s="22"/>
      <c r="AF350" s="22"/>
      <c r="AG350" s="22"/>
      <c r="AH350" s="22"/>
      <c r="AI350" s="22"/>
    </row>
    <row r="351" spans="30:35" ht="18" customHeight="1">
      <c r="AD351" s="22"/>
      <c r="AE351" s="22"/>
      <c r="AF351" s="22"/>
      <c r="AG351" s="22"/>
      <c r="AH351" s="22"/>
      <c r="AI351" s="22"/>
    </row>
    <row r="352" spans="30:35" ht="18" customHeight="1">
      <c r="AD352" s="22"/>
      <c r="AE352" s="22"/>
      <c r="AF352" s="22"/>
      <c r="AG352" s="22"/>
      <c r="AH352" s="22"/>
      <c r="AI352" s="22"/>
    </row>
    <row r="353" spans="30:35" ht="18" customHeight="1">
      <c r="AD353" s="22"/>
      <c r="AE353" s="22"/>
      <c r="AF353" s="22"/>
      <c r="AG353" s="22"/>
      <c r="AH353" s="22"/>
      <c r="AI353" s="22"/>
    </row>
    <row r="354" spans="30:35" ht="18" customHeight="1">
      <c r="AD354" s="22"/>
      <c r="AE354" s="22"/>
      <c r="AF354" s="22"/>
      <c r="AG354" s="22"/>
      <c r="AH354" s="22"/>
      <c r="AI354" s="22"/>
    </row>
    <row r="355" spans="30:35" ht="18" customHeight="1">
      <c r="AD355" s="22"/>
      <c r="AE355" s="22"/>
      <c r="AF355" s="22"/>
      <c r="AG355" s="22"/>
      <c r="AH355" s="22"/>
      <c r="AI355" s="22"/>
    </row>
    <row r="356" spans="30:35" ht="18" customHeight="1">
      <c r="AD356" s="22"/>
      <c r="AE356" s="22"/>
      <c r="AF356" s="22"/>
      <c r="AG356" s="22"/>
      <c r="AH356" s="22"/>
      <c r="AI356" s="22"/>
    </row>
    <row r="357" spans="30:35" ht="18" customHeight="1">
      <c r="AD357" s="22"/>
      <c r="AE357" s="22"/>
      <c r="AF357" s="22"/>
      <c r="AG357" s="22"/>
      <c r="AH357" s="22"/>
      <c r="AI357" s="22"/>
    </row>
    <row r="358" spans="30:35" ht="18" customHeight="1">
      <c r="AD358" s="22"/>
      <c r="AE358" s="22"/>
      <c r="AF358" s="22"/>
      <c r="AG358" s="22"/>
      <c r="AH358" s="22"/>
      <c r="AI358" s="22"/>
    </row>
    <row r="359" spans="30:35" ht="18" customHeight="1">
      <c r="AD359" s="22"/>
      <c r="AE359" s="22"/>
      <c r="AF359" s="22"/>
      <c r="AG359" s="22"/>
      <c r="AH359" s="22"/>
      <c r="AI359" s="22"/>
    </row>
    <row r="360" spans="30:35" ht="18" customHeight="1">
      <c r="AD360" s="22"/>
      <c r="AE360" s="22"/>
      <c r="AF360" s="22"/>
      <c r="AG360" s="22"/>
      <c r="AH360" s="22"/>
      <c r="AI360" s="22"/>
    </row>
    <row r="361" spans="30:35" ht="18" customHeight="1">
      <c r="AD361" s="22"/>
      <c r="AE361" s="22"/>
      <c r="AF361" s="22"/>
      <c r="AG361" s="22"/>
      <c r="AH361" s="22"/>
      <c r="AI361" s="22"/>
    </row>
    <row r="362" spans="30:35" ht="18" customHeight="1">
      <c r="AD362" s="22"/>
      <c r="AE362" s="22"/>
      <c r="AF362" s="22"/>
      <c r="AG362" s="22"/>
      <c r="AH362" s="22"/>
      <c r="AI362" s="22"/>
    </row>
    <row r="363" spans="30:35" ht="18" customHeight="1">
      <c r="AD363" s="22"/>
      <c r="AE363" s="22"/>
      <c r="AF363" s="22"/>
      <c r="AG363" s="22"/>
      <c r="AH363" s="22"/>
      <c r="AI363" s="22"/>
    </row>
    <row r="364" spans="30:35" ht="18" customHeight="1">
      <c r="AD364" s="22"/>
      <c r="AE364" s="22"/>
      <c r="AF364" s="22"/>
      <c r="AG364" s="22"/>
      <c r="AH364" s="22"/>
      <c r="AI364" s="22"/>
    </row>
  </sheetData>
  <mergeCells count="392">
    <mergeCell ref="R43:T43"/>
    <mergeCell ref="I38:K38"/>
    <mergeCell ref="I13:K13"/>
    <mergeCell ref="O37:Q37"/>
    <mergeCell ref="A14:B14"/>
    <mergeCell ref="I40:K40"/>
    <mergeCell ref="O3:U3"/>
    <mergeCell ref="I10:N10"/>
    <mergeCell ref="A43:B43"/>
    <mergeCell ref="R25:T25"/>
    <mergeCell ref="AD19:AI19"/>
    <mergeCell ref="O32:Q32"/>
    <mergeCell ref="O26:Q26"/>
    <mergeCell ref="L30:N30"/>
    <mergeCell ref="E41:H41"/>
    <mergeCell ref="AD27:AI27"/>
    <mergeCell ref="L29:N29"/>
    <mergeCell ref="I33:K33"/>
    <mergeCell ref="AA41:AC41"/>
    <mergeCell ref="A25:B25"/>
    <mergeCell ref="O40:Q40"/>
    <mergeCell ref="A41:B41"/>
    <mergeCell ref="C41:D41"/>
    <mergeCell ref="R22:T22"/>
    <mergeCell ref="A27:B27"/>
    <mergeCell ref="C43:D43"/>
    <mergeCell ref="A20:B20"/>
    <mergeCell ref="AD38:AI38"/>
    <mergeCell ref="O20:Q20"/>
    <mergeCell ref="E43:H43"/>
    <mergeCell ref="C25:D25"/>
    <mergeCell ref="L31:N31"/>
    <mergeCell ref="A42:B42"/>
    <mergeCell ref="A18:B18"/>
    <mergeCell ref="I19:K19"/>
    <mergeCell ref="O34:Q34"/>
    <mergeCell ref="A29:B29"/>
    <mergeCell ref="X32:Z32"/>
    <mergeCell ref="A31:B31"/>
    <mergeCell ref="AQ5:AU5"/>
    <mergeCell ref="I15:K15"/>
    <mergeCell ref="AD24:AI24"/>
    <mergeCell ref="C32:D32"/>
    <mergeCell ref="AA16:AC16"/>
    <mergeCell ref="I17:K17"/>
    <mergeCell ref="A13:B13"/>
    <mergeCell ref="AD13:AI13"/>
    <mergeCell ref="C13:D13"/>
    <mergeCell ref="I35:K35"/>
    <mergeCell ref="AD22:AI22"/>
    <mergeCell ref="AD37:AI37"/>
    <mergeCell ref="R18:T18"/>
    <mergeCell ref="AA22:AC22"/>
    <mergeCell ref="I30:K30"/>
    <mergeCell ref="L13:N13"/>
    <mergeCell ref="U36:W36"/>
    <mergeCell ref="R40:T40"/>
    <mergeCell ref="O39:Q39"/>
    <mergeCell ref="U30:W30"/>
    <mergeCell ref="E27:H27"/>
    <mergeCell ref="L15:N15"/>
    <mergeCell ref="I37:K37"/>
    <mergeCell ref="R35:T35"/>
    <mergeCell ref="I14:K14"/>
    <mergeCell ref="R17:T17"/>
    <mergeCell ref="O23:Q23"/>
    <mergeCell ref="X27:Z27"/>
    <mergeCell ref="O24:Q24"/>
    <mergeCell ref="L28:N28"/>
    <mergeCell ref="I27:K27"/>
    <mergeCell ref="O18:Q18"/>
    <mergeCell ref="I25:K25"/>
    <mergeCell ref="A6:G6"/>
    <mergeCell ref="E29:H29"/>
    <mergeCell ref="U22:W22"/>
    <mergeCell ref="H6:N6"/>
    <mergeCell ref="L17:N17"/>
    <mergeCell ref="AA29:AC29"/>
    <mergeCell ref="A38:B38"/>
    <mergeCell ref="U15:W15"/>
    <mergeCell ref="C38:D38"/>
    <mergeCell ref="E31:H31"/>
    <mergeCell ref="R19:T19"/>
    <mergeCell ref="L19:N19"/>
    <mergeCell ref="AA37:AC37"/>
    <mergeCell ref="I16:K16"/>
    <mergeCell ref="X34:Z34"/>
    <mergeCell ref="AA24:AC24"/>
    <mergeCell ref="X28:Z28"/>
    <mergeCell ref="L11:N12"/>
    <mergeCell ref="C33:D33"/>
    <mergeCell ref="I18:K18"/>
    <mergeCell ref="AA26:AC26"/>
    <mergeCell ref="AC6:AI6"/>
    <mergeCell ref="X30:Z30"/>
    <mergeCell ref="C35:D35"/>
    <mergeCell ref="I41:K41"/>
    <mergeCell ref="L39:N39"/>
    <mergeCell ref="I43:K43"/>
    <mergeCell ref="X42:Z42"/>
    <mergeCell ref="X29:Z29"/>
    <mergeCell ref="U33:W33"/>
    <mergeCell ref="R32:T32"/>
    <mergeCell ref="E42:H42"/>
    <mergeCell ref="E17:H17"/>
    <mergeCell ref="E37:H37"/>
    <mergeCell ref="E19:H19"/>
    <mergeCell ref="R27:T27"/>
    <mergeCell ref="X18:Z18"/>
    <mergeCell ref="E32:H32"/>
    <mergeCell ref="R20:T20"/>
    <mergeCell ref="O21:Q21"/>
    <mergeCell ref="L25:N25"/>
    <mergeCell ref="I24:K24"/>
    <mergeCell ref="E22:H22"/>
    <mergeCell ref="X31:Z31"/>
    <mergeCell ref="U35:W35"/>
    <mergeCell ref="U34:W34"/>
    <mergeCell ref="X39:Z39"/>
    <mergeCell ref="R38:T38"/>
    <mergeCell ref="AD21:AI21"/>
    <mergeCell ref="O28:Q28"/>
    <mergeCell ref="AD29:AI29"/>
    <mergeCell ref="AD23:AI23"/>
    <mergeCell ref="O30:Q30"/>
    <mergeCell ref="V6:AB6"/>
    <mergeCell ref="O29:Q29"/>
    <mergeCell ref="AD44:AI44"/>
    <mergeCell ref="U25:W25"/>
    <mergeCell ref="X15:Z15"/>
    <mergeCell ref="O27:Q27"/>
    <mergeCell ref="AA18:AC18"/>
    <mergeCell ref="U20:W20"/>
    <mergeCell ref="AA44:AC44"/>
    <mergeCell ref="AA42:AC42"/>
    <mergeCell ref="AA35:AC35"/>
    <mergeCell ref="AD16:AI16"/>
    <mergeCell ref="AA17:AC17"/>
    <mergeCell ref="AA19:AC19"/>
    <mergeCell ref="R16:T16"/>
    <mergeCell ref="O8:U8"/>
    <mergeCell ref="AA20:AC20"/>
    <mergeCell ref="U10:AC10"/>
    <mergeCell ref="X44:Z44"/>
    <mergeCell ref="AA11:AC11"/>
    <mergeCell ref="U14:W14"/>
    <mergeCell ref="AD18:AI18"/>
    <mergeCell ref="O5:U5"/>
    <mergeCell ref="AD17:AI17"/>
    <mergeCell ref="U11:W12"/>
    <mergeCell ref="O17:Q17"/>
    <mergeCell ref="AQ7:AU7"/>
    <mergeCell ref="AQ2:AU2"/>
    <mergeCell ref="AD2:AF3"/>
    <mergeCell ref="AD42:AI42"/>
    <mergeCell ref="R23:T23"/>
    <mergeCell ref="X12:Z12"/>
    <mergeCell ref="A17:B17"/>
    <mergeCell ref="C17:D17"/>
    <mergeCell ref="A19:B19"/>
    <mergeCell ref="C19:D19"/>
    <mergeCell ref="X13:Z13"/>
    <mergeCell ref="U17:W17"/>
    <mergeCell ref="AA39:AC39"/>
    <mergeCell ref="I22:K22"/>
    <mergeCell ref="AD31:AI31"/>
    <mergeCell ref="C14:D14"/>
    <mergeCell ref="L41:N41"/>
    <mergeCell ref="A37:B37"/>
    <mergeCell ref="AD32:AI32"/>
    <mergeCell ref="E21:H21"/>
    <mergeCell ref="AD26:AI26"/>
    <mergeCell ref="L34:N34"/>
    <mergeCell ref="AA21:AC21"/>
    <mergeCell ref="X25:Z25"/>
    <mergeCell ref="E23:H23"/>
    <mergeCell ref="L36:N36"/>
    <mergeCell ref="L22:N22"/>
    <mergeCell ref="E14:H14"/>
    <mergeCell ref="L33:N33"/>
    <mergeCell ref="I32:K32"/>
    <mergeCell ref="O31:Q31"/>
    <mergeCell ref="R11:T12"/>
    <mergeCell ref="AQ3:AU3"/>
    <mergeCell ref="U18:W18"/>
    <mergeCell ref="H3:N3"/>
    <mergeCell ref="H5:N5"/>
    <mergeCell ref="AQ4:AU4"/>
    <mergeCell ref="O15:Q15"/>
    <mergeCell ref="V3:AB3"/>
    <mergeCell ref="V5:AB5"/>
    <mergeCell ref="AD33:AI33"/>
    <mergeCell ref="AA14:AC14"/>
    <mergeCell ref="X11:Z11"/>
    <mergeCell ref="AD15:AI15"/>
    <mergeCell ref="AA23:AC23"/>
    <mergeCell ref="U26:W26"/>
    <mergeCell ref="R29:T29"/>
    <mergeCell ref="AC5:AI5"/>
    <mergeCell ref="AA27:AC27"/>
    <mergeCell ref="AQ6:AU6"/>
    <mergeCell ref="AG2:AH3"/>
    <mergeCell ref="X38:Z38"/>
    <mergeCell ref="U39:W39"/>
    <mergeCell ref="A3:G3"/>
    <mergeCell ref="L37:N37"/>
    <mergeCell ref="A5:G5"/>
    <mergeCell ref="E26:H26"/>
    <mergeCell ref="L14:N14"/>
    <mergeCell ref="R21:T21"/>
    <mergeCell ref="O25:Q25"/>
    <mergeCell ref="O7:U7"/>
    <mergeCell ref="C10:D12"/>
    <mergeCell ref="I29:K29"/>
    <mergeCell ref="A21:B21"/>
    <mergeCell ref="C21:D21"/>
    <mergeCell ref="L27:N27"/>
    <mergeCell ref="I31:K31"/>
    <mergeCell ref="A32:B32"/>
    <mergeCell ref="A23:B23"/>
    <mergeCell ref="C23:D23"/>
    <mergeCell ref="I26:K26"/>
    <mergeCell ref="I20:K20"/>
    <mergeCell ref="H8:N8"/>
    <mergeCell ref="A24:B24"/>
    <mergeCell ref="H7:N7"/>
    <mergeCell ref="U40:W40"/>
    <mergeCell ref="R39:T39"/>
    <mergeCell ref="E39:H39"/>
    <mergeCell ref="L20:N20"/>
    <mergeCell ref="L38:N38"/>
    <mergeCell ref="A16:B16"/>
    <mergeCell ref="C16:D16"/>
    <mergeCell ref="O36:Q36"/>
    <mergeCell ref="L35:N35"/>
    <mergeCell ref="A40:B40"/>
    <mergeCell ref="E38:H38"/>
    <mergeCell ref="E40:H40"/>
    <mergeCell ref="R37:T37"/>
    <mergeCell ref="L23:N23"/>
    <mergeCell ref="C18:D18"/>
    <mergeCell ref="R31:T31"/>
    <mergeCell ref="E16:H16"/>
    <mergeCell ref="C20:D20"/>
    <mergeCell ref="E18:H18"/>
    <mergeCell ref="C22:D22"/>
    <mergeCell ref="C36:D36"/>
    <mergeCell ref="A22:B22"/>
    <mergeCell ref="O1:P1"/>
    <mergeCell ref="X22:Z22"/>
    <mergeCell ref="C27:D27"/>
    <mergeCell ref="U44:W44"/>
    <mergeCell ref="O19:Q19"/>
    <mergeCell ref="E34:H34"/>
    <mergeCell ref="AD20:AI20"/>
    <mergeCell ref="U27:W27"/>
    <mergeCell ref="AD14:AI14"/>
    <mergeCell ref="E10:H12"/>
    <mergeCell ref="AA34:AC34"/>
    <mergeCell ref="E36:H36"/>
    <mergeCell ref="R24:T24"/>
    <mergeCell ref="L24:N24"/>
    <mergeCell ref="I28:K28"/>
    <mergeCell ref="L18:N18"/>
    <mergeCell ref="AA36:AC36"/>
    <mergeCell ref="A8:G8"/>
    <mergeCell ref="R26:T26"/>
    <mergeCell ref="I21:K21"/>
    <mergeCell ref="L26:N26"/>
    <mergeCell ref="X33:Z33"/>
    <mergeCell ref="I23:K23"/>
    <mergeCell ref="X41:Z41"/>
    <mergeCell ref="AD41:AI41"/>
    <mergeCell ref="AD43:AI43"/>
    <mergeCell ref="U42:W42"/>
    <mergeCell ref="E33:H33"/>
    <mergeCell ref="O6:U6"/>
    <mergeCell ref="L21:N21"/>
    <mergeCell ref="U19:W19"/>
    <mergeCell ref="E35:H35"/>
    <mergeCell ref="A7:G7"/>
    <mergeCell ref="AD39:AI39"/>
    <mergeCell ref="C39:D39"/>
    <mergeCell ref="E28:H28"/>
    <mergeCell ref="X40:Z40"/>
    <mergeCell ref="L16:N16"/>
    <mergeCell ref="O10:T10"/>
    <mergeCell ref="AA28:AC28"/>
    <mergeCell ref="C37:D37"/>
    <mergeCell ref="E30:H30"/>
    <mergeCell ref="R34:T34"/>
    <mergeCell ref="AA30:AC30"/>
    <mergeCell ref="U32:W32"/>
    <mergeCell ref="U37:W37"/>
    <mergeCell ref="R36:T36"/>
    <mergeCell ref="AA31:AC31"/>
    <mergeCell ref="R1:S1"/>
    <mergeCell ref="A34:B34"/>
    <mergeCell ref="AD34:AI34"/>
    <mergeCell ref="C34:D34"/>
    <mergeCell ref="U16:W16"/>
    <mergeCell ref="AD28:AI28"/>
    <mergeCell ref="R15:T15"/>
    <mergeCell ref="A10:B12"/>
    <mergeCell ref="AD25:AI25"/>
    <mergeCell ref="AD10:AI12"/>
    <mergeCell ref="I11:K12"/>
    <mergeCell ref="U23:W23"/>
    <mergeCell ref="E20:H20"/>
    <mergeCell ref="E13:H13"/>
    <mergeCell ref="AA13:AC13"/>
    <mergeCell ref="X17:Z17"/>
    <mergeCell ref="E15:H15"/>
    <mergeCell ref="O11:Q12"/>
    <mergeCell ref="AA15:AC15"/>
    <mergeCell ref="X19:Z19"/>
    <mergeCell ref="O16:Q16"/>
    <mergeCell ref="X20:Z20"/>
    <mergeCell ref="U21:W21"/>
    <mergeCell ref="AA12:AC12"/>
    <mergeCell ref="AA43:AC43"/>
    <mergeCell ref="R13:T13"/>
    <mergeCell ref="O41:Q41"/>
    <mergeCell ref="O35:Q35"/>
    <mergeCell ref="X14:Z14"/>
    <mergeCell ref="L43:N43"/>
    <mergeCell ref="X43:Z43"/>
    <mergeCell ref="U41:W41"/>
    <mergeCell ref="U43:W43"/>
    <mergeCell ref="U13:W13"/>
    <mergeCell ref="O43:Q43"/>
    <mergeCell ref="AA25:AC25"/>
    <mergeCell ref="X24:Z24"/>
    <mergeCell ref="U28:W28"/>
    <mergeCell ref="L40:N40"/>
    <mergeCell ref="X26:Z26"/>
    <mergeCell ref="U29:W29"/>
    <mergeCell ref="R33:T33"/>
    <mergeCell ref="U31:W31"/>
    <mergeCell ref="R28:T28"/>
    <mergeCell ref="R30:T30"/>
    <mergeCell ref="X37:Z37"/>
    <mergeCell ref="U24:W24"/>
    <mergeCell ref="X35:Z35"/>
    <mergeCell ref="I42:K42"/>
    <mergeCell ref="R42:T42"/>
    <mergeCell ref="AA32:AC32"/>
    <mergeCell ref="AA38:AC38"/>
    <mergeCell ref="AA40:AC40"/>
    <mergeCell ref="AA33:AC33"/>
    <mergeCell ref="R41:T41"/>
    <mergeCell ref="O42:Q42"/>
    <mergeCell ref="A15:B15"/>
    <mergeCell ref="L42:N42"/>
    <mergeCell ref="C15:D15"/>
    <mergeCell ref="O22:Q22"/>
    <mergeCell ref="I36:K36"/>
    <mergeCell ref="A39:B39"/>
    <mergeCell ref="E25:H25"/>
    <mergeCell ref="C29:D29"/>
    <mergeCell ref="I39:K39"/>
    <mergeCell ref="C31:D31"/>
    <mergeCell ref="C24:D24"/>
    <mergeCell ref="C42:D42"/>
    <mergeCell ref="C26:D26"/>
    <mergeCell ref="A36:B36"/>
    <mergeCell ref="C40:D40"/>
    <mergeCell ref="U38:W38"/>
    <mergeCell ref="AD40:AI40"/>
    <mergeCell ref="BB8:BF8"/>
    <mergeCell ref="E24:H24"/>
    <mergeCell ref="A33:B33"/>
    <mergeCell ref="R14:T14"/>
    <mergeCell ref="I34:K34"/>
    <mergeCell ref="X21:Z21"/>
    <mergeCell ref="A35:B35"/>
    <mergeCell ref="O33:Q33"/>
    <mergeCell ref="L32:N32"/>
    <mergeCell ref="X23:Z23"/>
    <mergeCell ref="A28:B28"/>
    <mergeCell ref="C28:D28"/>
    <mergeCell ref="X16:Z16"/>
    <mergeCell ref="A30:B30"/>
    <mergeCell ref="C30:D30"/>
    <mergeCell ref="AD36:AI36"/>
    <mergeCell ref="AD30:AI30"/>
    <mergeCell ref="AD35:AI35"/>
    <mergeCell ref="A26:B26"/>
    <mergeCell ref="O14:Q14"/>
    <mergeCell ref="O38:Q38"/>
    <mergeCell ref="O13:Q13"/>
    <mergeCell ref="X36:Z36"/>
  </mergeCells>
  <phoneticPr fontId="13" type="noConversion"/>
  <conditionalFormatting sqref="A13:D43">
    <cfRule type="expression" dxfId="1" priority="1" stopIfTrue="1">
      <formula>WEEKDAY(A13)=1</formula>
    </cfRule>
    <cfRule type="expression" dxfId="0" priority="2" stopIfTrue="1">
      <formula>WEEKDAY(A13)=7</formula>
    </cfRule>
  </conditionalFormatting>
  <dataValidations count="1">
    <dataValidation type="list" showInputMessage="1" showErrorMessage="1" sqref="WVM983053:WVP983083 E65549:H65579 E131085:H131115 E196621:H196651 E262157:H262187 E327693:H327723 E393229:H393259 E458765:H458795 E524301:H524331 E589837:H589867 E655373:H655403 E720909:H720939 E786445:H786475 E851981:H852011 E917517:H917547 E983053:H983083 JA13:JD43 JA65549:JD65579 JA131085:JD131115 JA196621:JD196651 JA262157:JD262187 JA327693:JD327723 JA393229:JD393259 JA458765:JD458795 JA524301:JD524331 JA589837:JD589867 JA655373:JD655403 JA720909:JD720939 JA786445:JD786475 JA851981:JD852011 JA917517:JD917547 JA983053:JD983083 SW13:SZ43 SW65549:SZ65579 SW131085:SZ131115 SW196621:SZ196651 SW262157:SZ262187 SW327693:SZ327723 SW393229:SZ393259 SW458765:SZ458795 SW524301:SZ524331 SW589837:SZ589867 SW655373:SZ655403 SW720909:SZ720939 SW786445:SZ786475 SW851981:SZ852011 SW917517:SZ917547 SW983053:SZ983083 ACS13:ACV43 ACS65549:ACV65579 ACS131085:ACV131115 ACS196621:ACV196651 ACS262157:ACV262187 ACS327693:ACV327723 ACS393229:ACV393259 ACS458765:ACV458795 ACS524301:ACV524331 ACS589837:ACV589867 ACS655373:ACV655403 ACS720909:ACV720939 ACS786445:ACV786475 ACS851981:ACV852011 ACS917517:ACV917547 ACS983053:ACV983083 AMO13:AMR43 AMO65549:AMR65579 AMO131085:AMR131115 AMO196621:AMR196651 AMO262157:AMR262187 AMO327693:AMR327723 AMO393229:AMR393259 AMO458765:AMR458795 AMO524301:AMR524331 AMO589837:AMR589867 AMO655373:AMR655403 AMO720909:AMR720939 AMO786445:AMR786475 AMO851981:AMR852011 AMO917517:AMR917547 AMO983053:AMR983083 AWK13:AWN43 AWK65549:AWN65579 AWK131085:AWN131115 AWK196621:AWN196651 AWK262157:AWN262187 AWK327693:AWN327723 AWK393229:AWN393259 AWK458765:AWN458795 AWK524301:AWN524331 AWK589837:AWN589867 AWK655373:AWN655403 AWK720909:AWN720939 AWK786445:AWN786475 AWK851981:AWN852011 AWK917517:AWN917547 AWK983053:AWN983083 BGG13:BGJ43 BGG65549:BGJ65579 BGG131085:BGJ131115 BGG196621:BGJ196651 BGG262157:BGJ262187 BGG327693:BGJ327723 BGG393229:BGJ393259 BGG458765:BGJ458795 BGG524301:BGJ524331 BGG589837:BGJ589867 BGG655373:BGJ655403 BGG720909:BGJ720939 BGG786445:BGJ786475 BGG851981:BGJ852011 BGG917517:BGJ917547 BGG983053:BGJ983083 BQC13:BQF43 BQC65549:BQF65579 BQC131085:BQF131115 BQC196621:BQF196651 BQC262157:BQF262187 BQC327693:BQF327723 BQC393229:BQF393259 BQC458765:BQF458795 BQC524301:BQF524331 BQC589837:BQF589867 BQC655373:BQF655403 BQC720909:BQF720939 BQC786445:BQF786475 BQC851981:BQF852011 BQC917517:BQF917547 BQC983053:BQF983083 BZY13:CAB43 BZY65549:CAB65579 BZY131085:CAB131115 BZY196621:CAB196651 BZY262157:CAB262187 BZY327693:CAB327723 BZY393229:CAB393259 BZY458765:CAB458795 BZY524301:CAB524331 BZY589837:CAB589867 BZY655373:CAB655403 BZY720909:CAB720939 BZY786445:CAB786475 BZY851981:CAB852011 BZY917517:CAB917547 BZY983053:CAB983083 CJU13:CJX43 CJU65549:CJX65579 CJU131085:CJX131115 CJU196621:CJX196651 CJU262157:CJX262187 CJU327693:CJX327723 CJU393229:CJX393259 CJU458765:CJX458795 CJU524301:CJX524331 CJU589837:CJX589867 CJU655373:CJX655403 CJU720909:CJX720939 CJU786445:CJX786475 CJU851981:CJX852011 CJU917517:CJX917547 CJU983053:CJX983083 CTQ13:CTT43 CTQ65549:CTT65579 CTQ131085:CTT131115 CTQ196621:CTT196651 CTQ262157:CTT262187 CTQ327693:CTT327723 CTQ393229:CTT393259 CTQ458765:CTT458795 CTQ524301:CTT524331 CTQ589837:CTT589867 CTQ655373:CTT655403 CTQ720909:CTT720939 CTQ786445:CTT786475 CTQ851981:CTT852011 CTQ917517:CTT917547 CTQ983053:CTT983083 DDM13:DDP43 DDM65549:DDP65579 DDM131085:DDP131115 DDM196621:DDP196651 DDM262157:DDP262187 DDM327693:DDP327723 DDM393229:DDP393259 DDM458765:DDP458795 DDM524301:DDP524331 DDM589837:DDP589867 DDM655373:DDP655403 DDM720909:DDP720939 DDM786445:DDP786475 DDM851981:DDP852011 DDM917517:DDP917547 DDM983053:DDP983083 DNI13:DNL43 DNI65549:DNL65579 DNI131085:DNL131115 DNI196621:DNL196651 DNI262157:DNL262187 DNI327693:DNL327723 DNI393229:DNL393259 DNI458765:DNL458795 DNI524301:DNL524331 DNI589837:DNL589867 DNI655373:DNL655403 DNI720909:DNL720939 DNI786445:DNL786475 DNI851981:DNL852011 DNI917517:DNL917547 DNI983053:DNL983083 DXE13:DXH43 DXE65549:DXH65579 DXE131085:DXH131115 DXE196621:DXH196651 DXE262157:DXH262187 DXE327693:DXH327723 DXE393229:DXH393259 DXE458765:DXH458795 DXE524301:DXH524331 DXE589837:DXH589867 DXE655373:DXH655403 DXE720909:DXH720939 DXE786445:DXH786475 DXE851981:DXH852011 DXE917517:DXH917547 DXE983053:DXH983083 EHA13:EHD43 EHA65549:EHD65579 EHA131085:EHD131115 EHA196621:EHD196651 EHA262157:EHD262187 EHA327693:EHD327723 EHA393229:EHD393259 EHA458765:EHD458795 EHA524301:EHD524331 EHA589837:EHD589867 EHA655373:EHD655403 EHA720909:EHD720939 EHA786445:EHD786475 EHA851981:EHD852011 EHA917517:EHD917547 EHA983053:EHD983083 EQW13:EQZ43 EQW65549:EQZ65579 EQW131085:EQZ131115 EQW196621:EQZ196651 EQW262157:EQZ262187 EQW327693:EQZ327723 EQW393229:EQZ393259 EQW458765:EQZ458795 EQW524301:EQZ524331 EQW589837:EQZ589867 EQW655373:EQZ655403 EQW720909:EQZ720939 EQW786445:EQZ786475 EQW851981:EQZ852011 EQW917517:EQZ917547 EQW983053:EQZ983083 FAS13:FAV43 FAS65549:FAV65579 FAS131085:FAV131115 FAS196621:FAV196651 FAS262157:FAV262187 FAS327693:FAV327723 FAS393229:FAV393259 FAS458765:FAV458795 FAS524301:FAV524331 FAS589837:FAV589867 FAS655373:FAV655403 FAS720909:FAV720939 FAS786445:FAV786475 FAS851981:FAV852011 FAS917517:FAV917547 FAS983053:FAV983083 FKO13:FKR43 FKO65549:FKR65579 FKO131085:FKR131115 FKO196621:FKR196651 FKO262157:FKR262187 FKO327693:FKR327723 FKO393229:FKR393259 FKO458765:FKR458795 FKO524301:FKR524331 FKO589837:FKR589867 FKO655373:FKR655403 FKO720909:FKR720939 FKO786445:FKR786475 FKO851981:FKR852011 FKO917517:FKR917547 FKO983053:FKR983083 FUK13:FUN43 FUK65549:FUN65579 FUK131085:FUN131115 FUK196621:FUN196651 FUK262157:FUN262187 FUK327693:FUN327723 FUK393229:FUN393259 FUK458765:FUN458795 FUK524301:FUN524331 FUK589837:FUN589867 FUK655373:FUN655403 FUK720909:FUN720939 FUK786445:FUN786475 FUK851981:FUN852011 FUK917517:FUN917547 FUK983053:FUN983083 GEG13:GEJ43 GEG65549:GEJ65579 GEG131085:GEJ131115 GEG196621:GEJ196651 GEG262157:GEJ262187 GEG327693:GEJ327723 GEG393229:GEJ393259 GEG458765:GEJ458795 GEG524301:GEJ524331 GEG589837:GEJ589867 GEG655373:GEJ655403 GEG720909:GEJ720939 GEG786445:GEJ786475 GEG851981:GEJ852011 GEG917517:GEJ917547 GEG983053:GEJ983083 GOC13:GOF43 GOC65549:GOF65579 GOC131085:GOF131115 GOC196621:GOF196651 GOC262157:GOF262187 GOC327693:GOF327723 GOC393229:GOF393259 GOC458765:GOF458795 GOC524301:GOF524331 GOC589837:GOF589867 GOC655373:GOF655403 GOC720909:GOF720939 GOC786445:GOF786475 GOC851981:GOF852011 GOC917517:GOF917547 GOC983053:GOF983083 GXY13:GYB43 GXY65549:GYB65579 GXY131085:GYB131115 GXY196621:GYB196651 GXY262157:GYB262187 GXY327693:GYB327723 GXY393229:GYB393259 GXY458765:GYB458795 GXY524301:GYB524331 GXY589837:GYB589867 GXY655373:GYB655403 GXY720909:GYB720939 GXY786445:GYB786475 GXY851981:GYB852011 GXY917517:GYB917547 GXY983053:GYB983083 HHU13:HHX43 HHU65549:HHX65579 HHU131085:HHX131115 HHU196621:HHX196651 HHU262157:HHX262187 HHU327693:HHX327723 HHU393229:HHX393259 HHU458765:HHX458795 HHU524301:HHX524331 HHU589837:HHX589867 HHU655373:HHX655403 HHU720909:HHX720939 HHU786445:HHX786475 HHU851981:HHX852011 HHU917517:HHX917547 HHU983053:HHX983083 HRQ13:HRT43 HRQ65549:HRT65579 HRQ131085:HRT131115 HRQ196621:HRT196651 HRQ262157:HRT262187 HRQ327693:HRT327723 HRQ393229:HRT393259 HRQ458765:HRT458795 HRQ524301:HRT524331 HRQ589837:HRT589867 HRQ655373:HRT655403 HRQ720909:HRT720939 HRQ786445:HRT786475 HRQ851981:HRT852011 HRQ917517:HRT917547 HRQ983053:HRT983083 IBM13:IBP43 IBM65549:IBP65579 IBM131085:IBP131115 IBM196621:IBP196651 IBM262157:IBP262187 IBM327693:IBP327723 IBM393229:IBP393259 IBM458765:IBP458795 IBM524301:IBP524331 IBM589837:IBP589867 IBM655373:IBP655403 IBM720909:IBP720939 IBM786445:IBP786475 IBM851981:IBP852011 IBM917517:IBP917547 IBM983053:IBP983083 ILI13:ILL43 ILI65549:ILL65579 ILI131085:ILL131115 ILI196621:ILL196651 ILI262157:ILL262187 ILI327693:ILL327723 ILI393229:ILL393259 ILI458765:ILL458795 ILI524301:ILL524331 ILI589837:ILL589867 ILI655373:ILL655403 ILI720909:ILL720939 ILI786445:ILL786475 ILI851981:ILL852011 ILI917517:ILL917547 ILI983053:ILL983083 IVE13:IVH43 IVE65549:IVH65579 IVE131085:IVH131115 IVE196621:IVH196651 IVE262157:IVH262187 IVE327693:IVH327723 IVE393229:IVH393259 IVE458765:IVH458795 IVE524301:IVH524331 IVE589837:IVH589867 IVE655373:IVH655403 IVE720909:IVH720939 IVE786445:IVH786475 IVE851981:IVH852011 IVE917517:IVH917547 IVE983053:IVH983083 JFA13:JFD43 JFA65549:JFD65579 JFA131085:JFD131115 JFA196621:JFD196651 JFA262157:JFD262187 JFA327693:JFD327723 JFA393229:JFD393259 JFA458765:JFD458795 JFA524301:JFD524331 JFA589837:JFD589867 JFA655373:JFD655403 JFA720909:JFD720939 JFA786445:JFD786475 JFA851981:JFD852011 JFA917517:JFD917547 JFA983053:JFD983083 JOW13:JOZ43 JOW65549:JOZ65579 JOW131085:JOZ131115 JOW196621:JOZ196651 JOW262157:JOZ262187 JOW327693:JOZ327723 JOW393229:JOZ393259 JOW458765:JOZ458795 JOW524301:JOZ524331 JOW589837:JOZ589867 JOW655373:JOZ655403 JOW720909:JOZ720939 JOW786445:JOZ786475 JOW851981:JOZ852011 JOW917517:JOZ917547 JOW983053:JOZ983083 JYS13:JYV43 JYS65549:JYV65579 JYS131085:JYV131115 JYS196621:JYV196651 JYS262157:JYV262187 JYS327693:JYV327723 JYS393229:JYV393259 JYS458765:JYV458795 JYS524301:JYV524331 JYS589837:JYV589867 JYS655373:JYV655403 JYS720909:JYV720939 JYS786445:JYV786475 JYS851981:JYV852011 JYS917517:JYV917547 JYS983053:JYV983083 KIO13:KIR43 KIO65549:KIR65579 KIO131085:KIR131115 KIO196621:KIR196651 KIO262157:KIR262187 KIO327693:KIR327723 KIO393229:KIR393259 KIO458765:KIR458795 KIO524301:KIR524331 KIO589837:KIR589867 KIO655373:KIR655403 KIO720909:KIR720939 KIO786445:KIR786475 KIO851981:KIR852011 KIO917517:KIR917547 KIO983053:KIR983083 KSK13:KSN43 KSK65549:KSN65579 KSK131085:KSN131115 KSK196621:KSN196651 KSK262157:KSN262187 KSK327693:KSN327723 KSK393229:KSN393259 KSK458765:KSN458795 KSK524301:KSN524331 KSK589837:KSN589867 KSK655373:KSN655403 KSK720909:KSN720939 KSK786445:KSN786475 KSK851981:KSN852011 KSK917517:KSN917547 KSK983053:KSN983083 LCG13:LCJ43 LCG65549:LCJ65579 LCG131085:LCJ131115 LCG196621:LCJ196651 LCG262157:LCJ262187 LCG327693:LCJ327723 LCG393229:LCJ393259 LCG458765:LCJ458795 LCG524301:LCJ524331 LCG589837:LCJ589867 LCG655373:LCJ655403 LCG720909:LCJ720939 LCG786445:LCJ786475 LCG851981:LCJ852011 LCG917517:LCJ917547 LCG983053:LCJ983083 LMC13:LMF43 LMC65549:LMF65579 LMC131085:LMF131115 LMC196621:LMF196651 LMC262157:LMF262187 LMC327693:LMF327723 LMC393229:LMF393259 LMC458765:LMF458795 LMC524301:LMF524331 LMC589837:LMF589867 LMC655373:LMF655403 LMC720909:LMF720939 LMC786445:LMF786475 LMC851981:LMF852011 LMC917517:LMF917547 LMC983053:LMF983083 LVY13:LWB43 LVY65549:LWB65579 LVY131085:LWB131115 LVY196621:LWB196651 LVY262157:LWB262187 LVY327693:LWB327723 LVY393229:LWB393259 LVY458765:LWB458795 LVY524301:LWB524331 LVY589837:LWB589867 LVY655373:LWB655403 LVY720909:LWB720939 LVY786445:LWB786475 LVY851981:LWB852011 LVY917517:LWB917547 LVY983053:LWB983083 MFU13:MFX43 MFU65549:MFX65579 MFU131085:MFX131115 MFU196621:MFX196651 MFU262157:MFX262187 MFU327693:MFX327723 MFU393229:MFX393259 MFU458765:MFX458795 MFU524301:MFX524331 MFU589837:MFX589867 MFU655373:MFX655403 MFU720909:MFX720939 MFU786445:MFX786475 MFU851981:MFX852011 MFU917517:MFX917547 MFU983053:MFX983083 MPQ13:MPT43 MPQ65549:MPT65579 MPQ131085:MPT131115 MPQ196621:MPT196651 MPQ262157:MPT262187 MPQ327693:MPT327723 MPQ393229:MPT393259 MPQ458765:MPT458795 MPQ524301:MPT524331 MPQ589837:MPT589867 MPQ655373:MPT655403 MPQ720909:MPT720939 MPQ786445:MPT786475 MPQ851981:MPT852011 MPQ917517:MPT917547 MPQ983053:MPT983083 MZM13:MZP43 MZM65549:MZP65579 MZM131085:MZP131115 MZM196621:MZP196651 MZM262157:MZP262187 MZM327693:MZP327723 MZM393229:MZP393259 MZM458765:MZP458795 MZM524301:MZP524331 MZM589837:MZP589867 MZM655373:MZP655403 MZM720909:MZP720939 MZM786445:MZP786475 MZM851981:MZP852011 MZM917517:MZP917547 MZM983053:MZP983083 NJI13:NJL43 NJI65549:NJL65579 NJI131085:NJL131115 NJI196621:NJL196651 NJI262157:NJL262187 NJI327693:NJL327723 NJI393229:NJL393259 NJI458765:NJL458795 NJI524301:NJL524331 NJI589837:NJL589867 NJI655373:NJL655403 NJI720909:NJL720939 NJI786445:NJL786475 NJI851981:NJL852011 NJI917517:NJL917547 NJI983053:NJL983083 NTE13:NTH43 NTE65549:NTH65579 NTE131085:NTH131115 NTE196621:NTH196651 NTE262157:NTH262187 NTE327693:NTH327723 NTE393229:NTH393259 NTE458765:NTH458795 NTE524301:NTH524331 NTE589837:NTH589867 NTE655373:NTH655403 NTE720909:NTH720939 NTE786445:NTH786475 NTE851981:NTH852011 NTE917517:NTH917547 NTE983053:NTH983083 ODA13:ODD43 ODA65549:ODD65579 ODA131085:ODD131115 ODA196621:ODD196651 ODA262157:ODD262187 ODA327693:ODD327723 ODA393229:ODD393259 ODA458765:ODD458795 ODA524301:ODD524331 ODA589837:ODD589867 ODA655373:ODD655403 ODA720909:ODD720939 ODA786445:ODD786475 ODA851981:ODD852011 ODA917517:ODD917547 ODA983053:ODD983083 OMW13:OMZ43 OMW65549:OMZ65579 OMW131085:OMZ131115 OMW196621:OMZ196651 OMW262157:OMZ262187 OMW327693:OMZ327723 OMW393229:OMZ393259 OMW458765:OMZ458795 OMW524301:OMZ524331 OMW589837:OMZ589867 OMW655373:OMZ655403 OMW720909:OMZ720939 OMW786445:OMZ786475 OMW851981:OMZ852011 OMW917517:OMZ917547 OMW983053:OMZ983083 OWS13:OWV43 OWS65549:OWV65579 OWS131085:OWV131115 OWS196621:OWV196651 OWS262157:OWV262187 OWS327693:OWV327723 OWS393229:OWV393259 OWS458765:OWV458795 OWS524301:OWV524331 OWS589837:OWV589867 OWS655373:OWV655403 OWS720909:OWV720939 OWS786445:OWV786475 OWS851981:OWV852011 OWS917517:OWV917547 OWS983053:OWV983083 PGO13:PGR43 PGO65549:PGR65579 PGO131085:PGR131115 PGO196621:PGR196651 PGO262157:PGR262187 PGO327693:PGR327723 PGO393229:PGR393259 PGO458765:PGR458795 PGO524301:PGR524331 PGO589837:PGR589867 PGO655373:PGR655403 PGO720909:PGR720939 PGO786445:PGR786475 PGO851981:PGR852011 PGO917517:PGR917547 PGO983053:PGR983083 PQK13:PQN43 PQK65549:PQN65579 PQK131085:PQN131115 PQK196621:PQN196651 PQK262157:PQN262187 PQK327693:PQN327723 PQK393229:PQN393259 PQK458765:PQN458795 PQK524301:PQN524331 PQK589837:PQN589867 PQK655373:PQN655403 PQK720909:PQN720939 PQK786445:PQN786475 PQK851981:PQN852011 PQK917517:PQN917547 PQK983053:PQN983083 QAG13:QAJ43 QAG65549:QAJ65579 QAG131085:QAJ131115 QAG196621:QAJ196651 QAG262157:QAJ262187 QAG327693:QAJ327723 QAG393229:QAJ393259 QAG458765:QAJ458795 QAG524301:QAJ524331 QAG589837:QAJ589867 QAG655373:QAJ655403 QAG720909:QAJ720939 QAG786445:QAJ786475 QAG851981:QAJ852011 QAG917517:QAJ917547 QAG983053:QAJ983083 QKC13:QKF43 QKC65549:QKF65579 QKC131085:QKF131115 QKC196621:QKF196651 QKC262157:QKF262187 QKC327693:QKF327723 QKC393229:QKF393259 QKC458765:QKF458795 QKC524301:QKF524331 QKC589837:QKF589867 QKC655373:QKF655403 QKC720909:QKF720939 QKC786445:QKF786475 QKC851981:QKF852011 QKC917517:QKF917547 QKC983053:QKF983083 QTY13:QUB43 QTY65549:QUB65579 QTY131085:QUB131115 QTY196621:QUB196651 QTY262157:QUB262187 QTY327693:QUB327723 QTY393229:QUB393259 QTY458765:QUB458795 QTY524301:QUB524331 QTY589837:QUB589867 QTY655373:QUB655403 QTY720909:QUB720939 QTY786445:QUB786475 QTY851981:QUB852011 QTY917517:QUB917547 QTY983053:QUB983083 RDU13:RDX43 RDU65549:RDX65579 RDU131085:RDX131115 RDU196621:RDX196651 RDU262157:RDX262187 RDU327693:RDX327723 RDU393229:RDX393259 RDU458765:RDX458795 RDU524301:RDX524331 RDU589837:RDX589867 RDU655373:RDX655403 RDU720909:RDX720939 RDU786445:RDX786475 RDU851981:RDX852011 RDU917517:RDX917547 RDU983053:RDX983083 RNQ13:RNT43 RNQ65549:RNT65579 RNQ131085:RNT131115 RNQ196621:RNT196651 RNQ262157:RNT262187 RNQ327693:RNT327723 RNQ393229:RNT393259 RNQ458765:RNT458795 RNQ524301:RNT524331 RNQ589837:RNT589867 RNQ655373:RNT655403 RNQ720909:RNT720939 RNQ786445:RNT786475 RNQ851981:RNT852011 RNQ917517:RNT917547 RNQ983053:RNT983083 RXM13:RXP43 RXM65549:RXP65579 RXM131085:RXP131115 RXM196621:RXP196651 RXM262157:RXP262187 RXM327693:RXP327723 RXM393229:RXP393259 RXM458765:RXP458795 RXM524301:RXP524331 RXM589837:RXP589867 RXM655373:RXP655403 RXM720909:RXP720939 RXM786445:RXP786475 RXM851981:RXP852011 RXM917517:RXP917547 RXM983053:RXP983083 SHI13:SHL43 SHI65549:SHL65579 SHI131085:SHL131115 SHI196621:SHL196651 SHI262157:SHL262187 SHI327693:SHL327723 SHI393229:SHL393259 SHI458765:SHL458795 SHI524301:SHL524331 SHI589837:SHL589867 SHI655373:SHL655403 SHI720909:SHL720939 SHI786445:SHL786475 SHI851981:SHL852011 SHI917517:SHL917547 SHI983053:SHL983083 SRE13:SRH43 SRE65549:SRH65579 SRE131085:SRH131115 SRE196621:SRH196651 SRE262157:SRH262187 SRE327693:SRH327723 SRE393229:SRH393259 SRE458765:SRH458795 SRE524301:SRH524331 SRE589837:SRH589867 SRE655373:SRH655403 SRE720909:SRH720939 SRE786445:SRH786475 SRE851981:SRH852011 SRE917517:SRH917547 SRE983053:SRH983083 TBA13:TBD43 TBA65549:TBD65579 TBA131085:TBD131115 TBA196621:TBD196651 TBA262157:TBD262187 TBA327693:TBD327723 TBA393229:TBD393259 TBA458765:TBD458795 TBA524301:TBD524331 TBA589837:TBD589867 TBA655373:TBD655403 TBA720909:TBD720939 TBA786445:TBD786475 TBA851981:TBD852011 TBA917517:TBD917547 TBA983053:TBD983083 TKW13:TKZ43 TKW65549:TKZ65579 TKW131085:TKZ131115 TKW196621:TKZ196651 TKW262157:TKZ262187 TKW327693:TKZ327723 TKW393229:TKZ393259 TKW458765:TKZ458795 TKW524301:TKZ524331 TKW589837:TKZ589867 TKW655373:TKZ655403 TKW720909:TKZ720939 TKW786445:TKZ786475 TKW851981:TKZ852011 TKW917517:TKZ917547 TKW983053:TKZ983083 TUS13:TUV43 TUS65549:TUV65579 TUS131085:TUV131115 TUS196621:TUV196651 TUS262157:TUV262187 TUS327693:TUV327723 TUS393229:TUV393259 TUS458765:TUV458795 TUS524301:TUV524331 TUS589837:TUV589867 TUS655373:TUV655403 TUS720909:TUV720939 TUS786445:TUV786475 TUS851981:TUV852011 TUS917517:TUV917547 TUS983053:TUV983083 UEO13:UER43 UEO65549:UER65579 UEO131085:UER131115 UEO196621:UER196651 UEO262157:UER262187 UEO327693:UER327723 UEO393229:UER393259 UEO458765:UER458795 UEO524301:UER524331 UEO589837:UER589867 UEO655373:UER655403 UEO720909:UER720939 UEO786445:UER786475 UEO851981:UER852011 UEO917517:UER917547 UEO983053:UER983083 UOK13:UON43 UOK65549:UON65579 UOK131085:UON131115 UOK196621:UON196651 UOK262157:UON262187 UOK327693:UON327723 UOK393229:UON393259 UOK458765:UON458795 UOK524301:UON524331 UOK589837:UON589867 UOK655373:UON655403 UOK720909:UON720939 UOK786445:UON786475 UOK851981:UON852011 UOK917517:UON917547 UOK983053:UON983083 UYG13:UYJ43 UYG65549:UYJ65579 UYG131085:UYJ131115 UYG196621:UYJ196651 UYG262157:UYJ262187 UYG327693:UYJ327723 UYG393229:UYJ393259 UYG458765:UYJ458795 UYG524301:UYJ524331 UYG589837:UYJ589867 UYG655373:UYJ655403 UYG720909:UYJ720939 UYG786445:UYJ786475 UYG851981:UYJ852011 UYG917517:UYJ917547 UYG983053:UYJ983083 VIC13:VIF43 VIC65549:VIF65579 VIC131085:VIF131115 VIC196621:VIF196651 VIC262157:VIF262187 VIC327693:VIF327723 VIC393229:VIF393259 VIC458765:VIF458795 VIC524301:VIF524331 VIC589837:VIF589867 VIC655373:VIF655403 VIC720909:VIF720939 VIC786445:VIF786475 VIC851981:VIF852011 VIC917517:VIF917547 VIC983053:VIF983083 VRY13:VSB43 VRY65549:VSB65579 VRY131085:VSB131115 VRY196621:VSB196651 VRY262157:VSB262187 VRY327693:VSB327723 VRY393229:VSB393259 VRY458765:VSB458795 VRY524301:VSB524331 VRY589837:VSB589867 VRY655373:VSB655403 VRY720909:VSB720939 VRY786445:VSB786475 VRY851981:VSB852011 VRY917517:VSB917547 VRY983053:VSB983083 WBU13:WBX43 WBU65549:WBX65579 WBU131085:WBX131115 WBU196621:WBX196651 WBU262157:WBX262187 WBU327693:WBX327723 WBU393229:WBX393259 WBU458765:WBX458795 WBU524301:WBX524331 WBU589837:WBX589867 WBU655373:WBX655403 WBU720909:WBX720939 WBU786445:WBX786475 WBU851981:WBX852011 WBU917517:WBX917547 WBU983053:WBX983083 WLQ13:WLT43 WLQ65549:WLT65579 WLQ131085:WLT131115 WLQ196621:WLT196651 WLQ262157:WLT262187 WLQ327693:WLT327723 WLQ393229:WLT393259 WLQ458765:WLT458795 WLQ524301:WLT524331 WLQ589837:WLT589867 WLQ655373:WLT655403 WLQ720909:WLT720939 WLQ786445:WLT786475 WLQ851981:WLT852011 WLQ917517:WLT917547 WLQ983053:WLT983083 WVM13:WVP43 WVM65549:WVP65579 WVM131085:WVP131115 WVM196621:WVP196651 WVM262157:WVP262187 WVM327693:WVP327723 WVM393229:WVP393259 WVM458765:WVP458795 WVM524301:WVP524331 WVM589837:WVP589867 WVM655373:WVP655403 WVM720909:WVP720939 WVM786445:WVP786475 WVM851981:WVP852011 WVM917517:WVP917547 E13:H43" xr:uid="{00000000-0002-0000-0000-000000000000}">
      <formula1>$AQ$2:$AQ$8</formula1>
    </dataValidation>
  </dataValidations>
  <printOptions horizontalCentered="1" verticalCentered="1"/>
  <pageMargins left="0.25" right="0.25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8356-A241-074E-A1EC-DAFEC1D21437}">
  <dimension ref="A1"/>
  <sheetViews>
    <sheetView workbookViewId="0">
      <selection sqref="A1:XFD1048576"/>
    </sheetView>
  </sheetViews>
  <sheetFormatPr baseColWidth="10" defaultRowHeight="15"/>
  <sheetData/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勤怠管理_テンプレート</vt:lpstr>
      <vt:lpstr>Sheet2</vt:lpstr>
      <vt:lpstr>Sheet1</vt:lpstr>
      <vt:lpstr>勤怠管理_テンプレート!Print_Area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